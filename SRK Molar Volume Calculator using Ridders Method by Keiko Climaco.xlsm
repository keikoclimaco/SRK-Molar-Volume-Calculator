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climaco\Desktop\"/>
    </mc:Choice>
  </mc:AlternateContent>
  <bookViews>
    <workbookView xWindow="0" yWindow="0" windowWidth="24000" windowHeight="9735"/>
  </bookViews>
  <sheets>
    <sheet name="SRK Equation Results" sheetId="1" r:id="rId1"/>
    <sheet name="Ideal Gas Results" sheetId="4" r:id="rId2"/>
    <sheet name="Percentage Error" sheetId="5" r:id="rId3"/>
    <sheet name="Chemical Species Database" sheetId="2" r:id="rId4"/>
    <sheet name="Validation" sheetId="3" r:id="rId5"/>
    <sheet name="Initial Test Cases" sheetId="6" r:id="rId6"/>
    <sheet name="Conclusion" sheetId="7" r:id="rId7"/>
  </sheets>
  <externalReferences>
    <externalReference r:id="rId8"/>
  </externalReferences>
  <definedNames>
    <definedName name="Elements">'Chemical Species Database'!$A$3:$A$10</definedName>
    <definedName name="ValidElements" localSheetId="6">'[1]Chemical Species Database'!$A$3:$A$13</definedName>
    <definedName name="ValidElements">'Chemical Species Database'!$A$3:$A$13</definedName>
    <definedName name="w">'Chemical Species Database'!$B$3:$B$13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" i="3" l="1"/>
  <c r="W8" i="3"/>
  <c r="U10" i="3"/>
  <c r="U9" i="3"/>
  <c r="U8" i="3"/>
  <c r="U7" i="3"/>
  <c r="W6" i="3"/>
  <c r="W10" i="3" s="1"/>
  <c r="AE23" i="3"/>
  <c r="AE24" i="3" s="1"/>
  <c r="AE25" i="3"/>
  <c r="AE26" i="3"/>
  <c r="AE27" i="3"/>
  <c r="AE32" i="3" s="1"/>
  <c r="AD23" i="3"/>
  <c r="AD25" i="3"/>
  <c r="AD24" i="3" s="1"/>
  <c r="AD26" i="3"/>
  <c r="AD32" i="3" s="1"/>
  <c r="AD27" i="3"/>
  <c r="AC23" i="3"/>
  <c r="AC25" i="3"/>
  <c r="AC24" i="3" s="1"/>
  <c r="AC26" i="3"/>
  <c r="AC32" i="3" s="1"/>
  <c r="AC27" i="3"/>
  <c r="AB23" i="3"/>
  <c r="AB25" i="3"/>
  <c r="AB24" i="3" s="1"/>
  <c r="AB26" i="3"/>
  <c r="AB32" i="3" s="1"/>
  <c r="AB27" i="3"/>
  <c r="AA23" i="3"/>
  <c r="AA24" i="3" s="1"/>
  <c r="AA25" i="3"/>
  <c r="AA26" i="3"/>
  <c r="AA27" i="3"/>
  <c r="AA32" i="3" s="1"/>
  <c r="Z23" i="3"/>
  <c r="Z24" i="3" s="1"/>
  <c r="Z25" i="3"/>
  <c r="Z26" i="3"/>
  <c r="Z27" i="3"/>
  <c r="Z32" i="3" s="1"/>
  <c r="Y23" i="3"/>
  <c r="Y25" i="3"/>
  <c r="Y24" i="3" s="1"/>
  <c r="Y26" i="3"/>
  <c r="Y32" i="3" s="1"/>
  <c r="Y27" i="3"/>
  <c r="X23" i="3"/>
  <c r="X25" i="3"/>
  <c r="X24" i="3" s="1"/>
  <c r="X26" i="3"/>
  <c r="X32" i="3" s="1"/>
  <c r="X27" i="3"/>
  <c r="W23" i="3"/>
  <c r="W24" i="3" s="1"/>
  <c r="W25" i="3"/>
  <c r="W26" i="3"/>
  <c r="W27" i="3"/>
  <c r="W32" i="3" s="1"/>
  <c r="V23" i="3"/>
  <c r="V25" i="3"/>
  <c r="V24" i="3" s="1"/>
  <c r="V26" i="3"/>
  <c r="V32" i="3" s="1"/>
  <c r="V27" i="3"/>
  <c r="U23" i="3"/>
  <c r="U25" i="3"/>
  <c r="U24" i="3" s="1"/>
  <c r="U26" i="3"/>
  <c r="U32" i="3" s="1"/>
  <c r="U27" i="3"/>
  <c r="T23" i="3"/>
  <c r="T24" i="3" s="1"/>
  <c r="T25" i="3"/>
  <c r="T26" i="3"/>
  <c r="T27" i="3"/>
  <c r="T32" i="3" s="1"/>
  <c r="S23" i="3"/>
  <c r="S25" i="3"/>
  <c r="S24" i="3" s="1"/>
  <c r="S26" i="3"/>
  <c r="S32" i="3" s="1"/>
  <c r="S27" i="3"/>
  <c r="R23" i="3"/>
  <c r="R24" i="3" s="1"/>
  <c r="R25" i="3"/>
  <c r="R26" i="3"/>
  <c r="R27" i="3"/>
  <c r="R32" i="3" s="1"/>
  <c r="Q29" i="3"/>
  <c r="Q23" i="3"/>
  <c r="Q25" i="3"/>
  <c r="Q24" i="3" s="1"/>
  <c r="Q28" i="3" s="1"/>
  <c r="Q26" i="3"/>
  <c r="Q32" i="3" s="1"/>
  <c r="Q27" i="3"/>
  <c r="P9" i="3"/>
  <c r="P10" i="3"/>
  <c r="P8" i="3"/>
  <c r="P26" i="3"/>
  <c r="N26" i="3"/>
  <c r="N27" i="3" s="1"/>
  <c r="P25" i="3" s="1"/>
  <c r="N25" i="3"/>
  <c r="N24" i="3"/>
  <c r="P23" i="3"/>
  <c r="N9" i="3"/>
  <c r="N10" i="3" s="1"/>
  <c r="N8" i="3"/>
  <c r="N7" i="3"/>
  <c r="P6" i="3"/>
  <c r="AE28" i="3" l="1"/>
  <c r="AE29" i="3"/>
  <c r="AD28" i="3"/>
  <c r="AD29" i="3"/>
  <c r="AC28" i="3"/>
  <c r="AC29" i="3"/>
  <c r="AB28" i="3"/>
  <c r="AB29" i="3"/>
  <c r="AA28" i="3"/>
  <c r="AA29" i="3"/>
  <c r="Z28" i="3"/>
  <c r="Z29" i="3"/>
  <c r="Y28" i="3"/>
  <c r="Y29" i="3"/>
  <c r="X28" i="3"/>
  <c r="X29" i="3"/>
  <c r="W28" i="3"/>
  <c r="W29" i="3"/>
  <c r="V28" i="3"/>
  <c r="V29" i="3"/>
  <c r="U28" i="3"/>
  <c r="U29" i="3"/>
  <c r="T28" i="3"/>
  <c r="T29" i="3"/>
  <c r="S28" i="3"/>
  <c r="S29" i="3"/>
  <c r="R28" i="3"/>
  <c r="R29" i="3"/>
  <c r="Q30" i="3"/>
  <c r="Q31" i="3"/>
  <c r="P27" i="3"/>
  <c r="P32" i="3" s="1"/>
  <c r="P7" i="3"/>
  <c r="P11" i="3" s="1"/>
  <c r="P15" i="3"/>
  <c r="AE30" i="3" l="1"/>
  <c r="AE31" i="3"/>
  <c r="AD31" i="3"/>
  <c r="AD30" i="3"/>
  <c r="AC31" i="3"/>
  <c r="AC30" i="3"/>
  <c r="AB31" i="3"/>
  <c r="AB30" i="3"/>
  <c r="AA30" i="3"/>
  <c r="AA31" i="3"/>
  <c r="Z30" i="3"/>
  <c r="Z31" i="3"/>
  <c r="Y31" i="3"/>
  <c r="Y30" i="3"/>
  <c r="X31" i="3"/>
  <c r="X30" i="3"/>
  <c r="W30" i="3"/>
  <c r="W31" i="3"/>
  <c r="V31" i="3"/>
  <c r="V30" i="3"/>
  <c r="U31" i="3"/>
  <c r="U30" i="3"/>
  <c r="T30" i="3"/>
  <c r="T31" i="3"/>
  <c r="S31" i="3"/>
  <c r="S30" i="3"/>
  <c r="R30" i="3"/>
  <c r="R31" i="3"/>
  <c r="P24" i="3"/>
  <c r="P28" i="3" s="1"/>
  <c r="P14" i="3"/>
  <c r="P31" i="3" l="1"/>
  <c r="P30" i="3"/>
  <c r="P13" i="3"/>
  <c r="B9" i="6"/>
  <c r="F8" i="6"/>
  <c r="G8" i="6" s="1"/>
  <c r="B8" i="6"/>
  <c r="F7" i="6"/>
  <c r="G7" i="6" s="1"/>
  <c r="F6" i="6"/>
  <c r="G6" i="6" s="1"/>
  <c r="I6" i="6" s="1"/>
  <c r="G5" i="6"/>
  <c r="I5" i="6" s="1"/>
  <c r="F5" i="6"/>
  <c r="F4" i="6"/>
  <c r="G4" i="6" s="1"/>
  <c r="I4" i="6" s="1"/>
  <c r="I8" i="6" l="1"/>
  <c r="I7" i="6"/>
  <c r="I38" i="3" l="1"/>
  <c r="I40" i="3"/>
  <c r="I39" i="3" s="1"/>
  <c r="I41" i="3"/>
  <c r="I47" i="3" s="1"/>
  <c r="I42" i="3"/>
  <c r="E40" i="3"/>
  <c r="F40" i="3"/>
  <c r="G40" i="3"/>
  <c r="H40" i="3"/>
  <c r="E41" i="3"/>
  <c r="E47" i="3" s="1"/>
  <c r="F41" i="3"/>
  <c r="G41" i="3"/>
  <c r="H41" i="3"/>
  <c r="E42" i="3"/>
  <c r="F42" i="3"/>
  <c r="G42" i="3"/>
  <c r="H42" i="3"/>
  <c r="D41" i="3"/>
  <c r="D42" i="3"/>
  <c r="D39" i="3" s="1"/>
  <c r="D43" i="3" s="1"/>
  <c r="D40" i="3"/>
  <c r="B42" i="3"/>
  <c r="B40" i="3"/>
  <c r="B39" i="3"/>
  <c r="B41" i="3"/>
  <c r="H38" i="3"/>
  <c r="G38" i="3"/>
  <c r="E38" i="3"/>
  <c r="D38" i="3"/>
  <c r="E35" i="3"/>
  <c r="F35" i="3" s="1"/>
  <c r="H22" i="3"/>
  <c r="H23" i="3"/>
  <c r="H28" i="3" s="1"/>
  <c r="H24" i="3"/>
  <c r="H25" i="3"/>
  <c r="H26" i="3"/>
  <c r="H27" i="3"/>
  <c r="H29" i="3" s="1"/>
  <c r="H31" i="3"/>
  <c r="G22" i="3"/>
  <c r="G24" i="3"/>
  <c r="G23" i="3" s="1"/>
  <c r="G25" i="3"/>
  <c r="G31" i="3" s="1"/>
  <c r="G26" i="3"/>
  <c r="F22" i="3"/>
  <c r="F23" i="3"/>
  <c r="F28" i="3" s="1"/>
  <c r="F24" i="3"/>
  <c r="F25" i="3"/>
  <c r="F26" i="3"/>
  <c r="F27" i="3"/>
  <c r="F29" i="3" s="1"/>
  <c r="F31" i="3"/>
  <c r="E22" i="3"/>
  <c r="E23" i="3"/>
  <c r="E28" i="3" s="1"/>
  <c r="E24" i="3"/>
  <c r="E25" i="3"/>
  <c r="E26" i="3"/>
  <c r="E27" i="3"/>
  <c r="E29" i="3" s="1"/>
  <c r="E31" i="3"/>
  <c r="I22" i="3"/>
  <c r="I23" i="3" s="1"/>
  <c r="I27" i="3" s="1"/>
  <c r="J22" i="3"/>
  <c r="J23" i="3" s="1"/>
  <c r="J27" i="3" s="1"/>
  <c r="K22" i="3"/>
  <c r="K23" i="3"/>
  <c r="I24" i="3"/>
  <c r="J24" i="3"/>
  <c r="K24" i="3"/>
  <c r="I25" i="3"/>
  <c r="J25" i="3"/>
  <c r="K25" i="3"/>
  <c r="K31" i="3" s="1"/>
  <c r="I26" i="3"/>
  <c r="J26" i="3"/>
  <c r="K26" i="3"/>
  <c r="K27" i="3"/>
  <c r="D25" i="3"/>
  <c r="D26" i="3"/>
  <c r="D24" i="3"/>
  <c r="B25" i="3"/>
  <c r="B26" i="3"/>
  <c r="B24" i="3"/>
  <c r="B23" i="3"/>
  <c r="D22" i="3"/>
  <c r="E19" i="3"/>
  <c r="F19" i="3" s="1"/>
  <c r="I6" i="3"/>
  <c r="I7" i="3"/>
  <c r="I12" i="3" s="1"/>
  <c r="I8" i="3"/>
  <c r="I9" i="3"/>
  <c r="I10" i="3"/>
  <c r="I11" i="3"/>
  <c r="I13" i="3" s="1"/>
  <c r="I15" i="3"/>
  <c r="H6" i="3"/>
  <c r="H7" i="3" s="1"/>
  <c r="H8" i="3"/>
  <c r="H9" i="3"/>
  <c r="H10" i="3"/>
  <c r="H15" i="3" s="1"/>
  <c r="G6" i="3"/>
  <c r="F6" i="3"/>
  <c r="E6" i="3"/>
  <c r="E3" i="3"/>
  <c r="F3" i="3" s="1"/>
  <c r="D6" i="3"/>
  <c r="B9" i="3"/>
  <c r="B10" i="3" s="1"/>
  <c r="I43" i="3" l="1"/>
  <c r="I44" i="3"/>
  <c r="G47" i="3"/>
  <c r="G39" i="3"/>
  <c r="G43" i="3" s="1"/>
  <c r="D47" i="3"/>
  <c r="H47" i="3"/>
  <c r="H30" i="3"/>
  <c r="G27" i="3"/>
  <c r="G28" i="3"/>
  <c r="F30" i="3"/>
  <c r="E30" i="3"/>
  <c r="K29" i="3"/>
  <c r="K28" i="3"/>
  <c r="K30" i="3"/>
  <c r="J29" i="3"/>
  <c r="J31" i="3"/>
  <c r="I31" i="3"/>
  <c r="I14" i="3"/>
  <c r="H12" i="3"/>
  <c r="H11" i="3"/>
  <c r="B8" i="3"/>
  <c r="B7" i="3"/>
  <c r="I46" i="3" l="1"/>
  <c r="I45" i="3"/>
  <c r="E39" i="3"/>
  <c r="E43" i="3" s="1"/>
  <c r="H39" i="3"/>
  <c r="H43" i="3" s="1"/>
  <c r="G30" i="3"/>
  <c r="G29" i="3"/>
  <c r="J28" i="3"/>
  <c r="J30" i="3"/>
  <c r="I28" i="3"/>
  <c r="H14" i="3"/>
  <c r="H13" i="3"/>
  <c r="E8" i="3"/>
  <c r="D9" i="3"/>
  <c r="G8" i="3"/>
  <c r="F8" i="3"/>
  <c r="E9" i="3"/>
  <c r="D8" i="3"/>
  <c r="G9" i="3"/>
  <c r="G15" i="3" s="1"/>
  <c r="F9" i="3"/>
  <c r="E10" i="3"/>
  <c r="E15" i="3" s="1"/>
  <c r="G10" i="3"/>
  <c r="F10" i="3"/>
  <c r="D10" i="3"/>
  <c r="B13" i="1"/>
  <c r="B12" i="1"/>
  <c r="B11" i="1"/>
  <c r="E45" i="3" l="1"/>
  <c r="E46" i="3"/>
  <c r="E44" i="3"/>
  <c r="G46" i="3"/>
  <c r="G45" i="3"/>
  <c r="H44" i="3"/>
  <c r="D46" i="3"/>
  <c r="D45" i="3"/>
  <c r="I30" i="3"/>
  <c r="I29" i="3"/>
  <c r="D15" i="3"/>
  <c r="F15" i="3"/>
  <c r="F7" i="3"/>
  <c r="G7" i="3"/>
  <c r="D7" i="3"/>
  <c r="D11" i="3" s="1"/>
  <c r="D14" i="3" s="1"/>
  <c r="E7" i="3"/>
  <c r="H46" i="3" l="1"/>
  <c r="H45" i="3"/>
  <c r="D13" i="3"/>
  <c r="E12" i="3"/>
  <c r="E11" i="3"/>
  <c r="G11" i="3"/>
  <c r="G12" i="3"/>
  <c r="F12" i="3"/>
  <c r="F11" i="3"/>
  <c r="G14" i="3" l="1"/>
  <c r="G13" i="3"/>
  <c r="F14" i="3"/>
  <c r="F13" i="3"/>
  <c r="E13" i="3"/>
  <c r="E14" i="3"/>
  <c r="D31" i="3" l="1"/>
  <c r="D23" i="3"/>
  <c r="D27" i="3" s="1"/>
  <c r="D30" i="3" l="1"/>
  <c r="D29" i="3" l="1"/>
  <c r="F38" i="3"/>
  <c r="F47" i="3"/>
  <c r="F39" i="3" l="1"/>
  <c r="F43" i="3" s="1"/>
  <c r="G44" i="3" l="1"/>
  <c r="F44" i="3"/>
  <c r="F45" i="3" l="1"/>
  <c r="F46" i="3"/>
  <c r="W15" i="3"/>
  <c r="W7" i="3"/>
  <c r="W11" i="3" s="1"/>
  <c r="W13" i="3" l="1"/>
  <c r="W14" i="3"/>
</calcChain>
</file>

<file path=xl/sharedStrings.xml><?xml version="1.0" encoding="utf-8"?>
<sst xmlns="http://schemas.openxmlformats.org/spreadsheetml/2006/main" count="219" uniqueCount="67">
  <si>
    <t>Chemical Species</t>
  </si>
  <si>
    <t>Temperatures (K)</t>
  </si>
  <si>
    <t>Pressures (bar)</t>
  </si>
  <si>
    <t>Chemical Species and their Physical Properties</t>
  </si>
  <si>
    <t>Element</t>
  </si>
  <si>
    <t>w</t>
  </si>
  <si>
    <t>Tc (K)</t>
  </si>
  <si>
    <t>Pc (bar)</t>
  </si>
  <si>
    <t>Methane</t>
  </si>
  <si>
    <t>Ethane</t>
  </si>
  <si>
    <t>Tc</t>
  </si>
  <si>
    <t>Pc</t>
  </si>
  <si>
    <t>Physical Properties</t>
  </si>
  <si>
    <t>1. Select chemical substance!</t>
  </si>
  <si>
    <t>2. Enter the pressures and temperatures at which the SRK equation will be evaluated at</t>
  </si>
  <si>
    <t>Pressure (bar)</t>
  </si>
  <si>
    <t>Argon</t>
  </si>
  <si>
    <t>Ethylene</t>
  </si>
  <si>
    <t>Helium 4</t>
  </si>
  <si>
    <t>Hydrogen</t>
  </si>
  <si>
    <t>Oxygen</t>
  </si>
  <si>
    <t>Nitrogen</t>
  </si>
  <si>
    <t>Air</t>
  </si>
  <si>
    <t>Nitric Oxide</t>
  </si>
  <si>
    <t>Carbon Monoxide</t>
  </si>
  <si>
    <t>3. Click the Button!</t>
  </si>
  <si>
    <t>For methane</t>
  </si>
  <si>
    <t>T</t>
  </si>
  <si>
    <t>a</t>
  </si>
  <si>
    <t>R</t>
  </si>
  <si>
    <t>b</t>
  </si>
  <si>
    <t xml:space="preserve">All iterations for </t>
  </si>
  <si>
    <t>P</t>
  </si>
  <si>
    <t>i</t>
  </si>
  <si>
    <t>Xl</t>
  </si>
  <si>
    <t>Xu</t>
  </si>
  <si>
    <t>Xm</t>
  </si>
  <si>
    <t>Xr</t>
  </si>
  <si>
    <t>fXl</t>
  </si>
  <si>
    <t>fXu</t>
  </si>
  <si>
    <t>fXr</t>
  </si>
  <si>
    <t>Ea</t>
  </si>
  <si>
    <t>Tr</t>
  </si>
  <si>
    <t>alpha</t>
  </si>
  <si>
    <t>fXm</t>
  </si>
  <si>
    <t>SIGN(fXr*fXm)</t>
  </si>
  <si>
    <t>SGN(fXm*fXu)</t>
  </si>
  <si>
    <t>SIGN(fXl*fXr)</t>
  </si>
  <si>
    <t>Es</t>
  </si>
  <si>
    <t>For oxygen</t>
  </si>
  <si>
    <t>Molar Volumes Under Various Temperatures and Pressures Under Ideal Gas Assumption</t>
  </si>
  <si>
    <t>Percentage Error Between Molar Volumes Evaluated with SRK Equation and the Ideal Gas Equation</t>
  </si>
  <si>
    <t>Table 1: Constants</t>
  </si>
  <si>
    <t>Table 2: Test Cases Evaluating f(x) to find intial guesses</t>
  </si>
  <si>
    <t>chemical species: methane</t>
  </si>
  <si>
    <t>Vm</t>
  </si>
  <si>
    <t>f(x)</t>
  </si>
  <si>
    <t>Vm non-Ideal</t>
  </si>
  <si>
    <t>Temperature</t>
  </si>
  <si>
    <t>Pressure 1 Bar</t>
  </si>
  <si>
    <t>Vm Ideal Gas</t>
  </si>
  <si>
    <t>Pressure 1 bar</t>
  </si>
  <si>
    <t>Vm (non-ideal)</t>
  </si>
  <si>
    <t>Pressure</t>
  </si>
  <si>
    <t>T=300</t>
  </si>
  <si>
    <t>Molar Volumes Under Various Temperatures and Pressures</t>
  </si>
  <si>
    <t>Temperature 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</si>
</sst>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1" fillId="0" borderId="0" xfId="0" applyFont="1" applyAlignmen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Protection="1"/>
    <xf numFmtId="2" fontId="0" fillId="0" borderId="0" xfId="0" applyNumberFormat="1" applyAlignment="1">
      <alignment horizontal="center" vertical="center"/>
    </xf>
    <xf numFmtId="0" fontId="1" fillId="0" borderId="0" xfId="0" applyFont="1" applyAlignment="1" applyProtection="1"/>
    <xf numFmtId="0" fontId="0" fillId="2" borderId="1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/>
    <xf numFmtId="0" fontId="1" fillId="0" borderId="0" xfId="0" applyFont="1" applyProtection="1"/>
    <xf numFmtId="2" fontId="0" fillId="0" borderId="0" xfId="0" applyNumberFormat="1" applyProtection="1">
      <protection locked="0"/>
    </xf>
    <xf numFmtId="0" fontId="0" fillId="0" borderId="0" xfId="0" applyAlignment="1" applyProtection="1"/>
    <xf numFmtId="0" fontId="1" fillId="0" borderId="1" xfId="0" applyFont="1" applyBorder="1" applyAlignment="1" applyProtection="1">
      <alignment horizontal="center"/>
    </xf>
    <xf numFmtId="0" fontId="0" fillId="0" borderId="0" xfId="0" applyFont="1" applyAlignment="1" applyProtection="1"/>
    <xf numFmtId="0" fontId="0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/>
    <xf numFmtId="0" fontId="0" fillId="0" borderId="0" xfId="0" applyFont="1"/>
    <xf numFmtId="0" fontId="0" fillId="0" borderId="0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 wrapText="1"/>
    </xf>
    <xf numFmtId="0" fontId="1" fillId="0" borderId="1" xfId="0" applyFont="1" applyFill="1" applyBorder="1" applyAlignment="1" applyProtection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  <a:r>
              <a:rPr lang="en-US" sz="1050"/>
              <a:t>m</a:t>
            </a:r>
            <a:r>
              <a:rPr lang="en-US"/>
              <a:t> Ideal Gas, T=300k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Conclusion!$B$2</c:f>
              <c:strCache>
                <c:ptCount val="1"/>
                <c:pt idx="0">
                  <c:v>Vm Ideal Gas</c:v>
                </c:pt>
              </c:strCache>
            </c:strRef>
          </c:tx>
          <c:spPr>
            <a:ln w="31750">
              <a:noFill/>
            </a:ln>
          </c:spPr>
          <c:trendline>
            <c:trendlineType val="power"/>
            <c:dispRSqr val="0"/>
            <c:dispEq val="0"/>
          </c:trendline>
          <c:xVal>
            <c:numRef>
              <c:f>Conclusion!$A$3:$A$7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20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Conclusion!$B$3:$B$7</c:f>
              <c:numCache>
                <c:formatCode>General</c:formatCode>
                <c:ptCount val="5"/>
                <c:pt idx="0">
                  <c:v>24.941998860000002</c:v>
                </c:pt>
                <c:pt idx="1">
                  <c:v>4.9883999750000001</c:v>
                </c:pt>
                <c:pt idx="2">
                  <c:v>1.247099849</c:v>
                </c:pt>
                <c:pt idx="3">
                  <c:v>0.49883314200000001</c:v>
                </c:pt>
                <c:pt idx="4">
                  <c:v>0.24942631900000001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79912"/>
        <c:axId val="269780304"/>
      </c:scatterChart>
      <c:valAx>
        <c:axId val="269779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</a:t>
                </a:r>
                <a:r>
                  <a:rPr lang="en-US" baseline="0"/>
                  <a:t> (Bar)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69780304"/>
        <c:crosses val="autoZero"/>
        <c:crossBetween val="midCat"/>
      </c:valAx>
      <c:valAx>
        <c:axId val="269780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Molar</a:t>
                </a:r>
                <a:r>
                  <a:rPr lang="en-US" baseline="0"/>
                  <a:t> Volume (L/mol)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69779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  <a:r>
              <a:rPr lang="en-US" sz="1050"/>
              <a:t>m</a:t>
            </a:r>
            <a:r>
              <a:rPr lang="en-US"/>
              <a:t>  Non-Ideal Gas, T = 300K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Conclusion!$B$20</c:f>
              <c:strCache>
                <c:ptCount val="1"/>
                <c:pt idx="0">
                  <c:v>Vm (non-ideal)</c:v>
                </c:pt>
              </c:strCache>
            </c:strRef>
          </c:tx>
          <c:spPr>
            <a:ln w="31750">
              <a:noFill/>
            </a:ln>
          </c:spPr>
          <c:trendline>
            <c:trendlineType val="power"/>
            <c:dispRSqr val="0"/>
            <c:dispEq val="0"/>
          </c:trendline>
          <c:xVal>
            <c:numRef>
              <c:f>Conclusion!$A$21:$A$25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20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Conclusion!$B$21:$B$25</c:f>
              <c:numCache>
                <c:formatCode>General</c:formatCode>
                <c:ptCount val="5"/>
                <c:pt idx="0">
                  <c:v>24.900865309508017</c:v>
                </c:pt>
                <c:pt idx="1">
                  <c:v>4.9475093573868465</c:v>
                </c:pt>
                <c:pt idx="2">
                  <c:v>1.2070908204348929</c:v>
                </c:pt>
                <c:pt idx="3">
                  <c:v>0.461198871125028</c:v>
                </c:pt>
                <c:pt idx="4">
                  <c:v>0.21746364975991994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81088"/>
        <c:axId val="269781480"/>
      </c:scatterChart>
      <c:valAx>
        <c:axId val="26978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781480"/>
        <c:crosses val="autoZero"/>
        <c:crossBetween val="midCat"/>
      </c:valAx>
      <c:valAx>
        <c:axId val="269781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</a:t>
                </a:r>
                <a:r>
                  <a:rPr lang="en-US" baseline="0"/>
                  <a:t> Volume (L/mol)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781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  <a:r>
              <a:rPr lang="en-US" sz="1050"/>
              <a:t>m</a:t>
            </a:r>
            <a:r>
              <a:rPr lang="en-US"/>
              <a:t> Ideal Gas, P = 1 Bar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Conclusion!$B$38</c:f>
              <c:strCache>
                <c:ptCount val="1"/>
                <c:pt idx="0">
                  <c:v>Vm Ideal Gas</c:v>
                </c:pt>
              </c:strCache>
            </c:strRef>
          </c:tx>
          <c:spPr>
            <a:ln w="317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Conclusion!$A$39:$A$44</c:f>
              <c:numCache>
                <c:formatCode>General</c:formatCode>
                <c:ptCount val="6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700</c:v>
                </c:pt>
              </c:numCache>
            </c:numRef>
          </c:xVal>
          <c:yVal>
            <c:numRef>
              <c:f>Conclusion!$B$39:$B$44</c:f>
              <c:numCache>
                <c:formatCode>General</c:formatCode>
                <c:ptCount val="6"/>
                <c:pt idx="0">
                  <c:v>16.627665040232088</c:v>
                </c:pt>
                <c:pt idx="1">
                  <c:v>24.941998861651236</c:v>
                </c:pt>
                <c:pt idx="2">
                  <c:v>33.255831909505567</c:v>
                </c:pt>
                <c:pt idx="3">
                  <c:v>41.569987755454243</c:v>
                </c:pt>
                <c:pt idx="4">
                  <c:v>49.883438379585698</c:v>
                </c:pt>
                <c:pt idx="5">
                  <c:v>58.19746764243434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62704"/>
        <c:axId val="269963096"/>
      </c:scatterChart>
      <c:valAx>
        <c:axId val="26996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</a:t>
                </a:r>
                <a:r>
                  <a:rPr lang="en-US" baseline="0"/>
                  <a:t> (K)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963096"/>
        <c:crosses val="autoZero"/>
        <c:crossBetween val="midCat"/>
      </c:valAx>
      <c:valAx>
        <c:axId val="269963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</a:t>
                </a:r>
                <a:r>
                  <a:rPr lang="en-US" baseline="0"/>
                  <a:t> Volume (L/mol)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96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 orientation="portrait" horizontalDpi="-4" vertic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2"/>
    </mc:Choice>
    <mc:Fallback>
      <c:style val="2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Vm Non-Ideal Gas, P = 1 Bar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Conclusion!$B$55</c:f>
              <c:strCache>
                <c:ptCount val="1"/>
                <c:pt idx="0">
                  <c:v>Vm non-Ideal</c:v>
                </c:pt>
              </c:strCache>
            </c:strRef>
          </c:tx>
          <c:spPr>
            <a:ln w="317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Conclusion!$A$56:$A$61</c:f>
              <c:numCache>
                <c:formatCode>General</c:formatCode>
                <c:ptCount val="6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700</c:v>
                </c:pt>
              </c:numCache>
            </c:numRef>
          </c:xVal>
          <c:yVal>
            <c:numRef>
              <c:f>Conclusion!$B$56:$B$61</c:f>
              <c:numCache>
                <c:formatCode>General</c:formatCode>
                <c:ptCount val="6"/>
                <c:pt idx="0">
                  <c:v>16.520351007703844</c:v>
                </c:pt>
                <c:pt idx="1">
                  <c:v>24.900865309508017</c:v>
                </c:pt>
                <c:pt idx="2">
                  <c:v>33.243744904135646</c:v>
                </c:pt>
                <c:pt idx="3">
                  <c:v>41.57334164388638</c:v>
                </c:pt>
                <c:pt idx="4">
                  <c:v>49.895962538722621</c:v>
                </c:pt>
                <c:pt idx="5">
                  <c:v>58.215719109885427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64272"/>
        <c:axId val="269964664"/>
      </c:scatterChart>
      <c:valAx>
        <c:axId val="26996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</a:t>
                </a:r>
                <a:r>
                  <a:rPr lang="en-US" baseline="0"/>
                  <a:t> (K)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964664"/>
        <c:crosses val="autoZero"/>
        <c:crossBetween val="midCat"/>
      </c:valAx>
      <c:valAx>
        <c:axId val="269964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</a:t>
                </a:r>
                <a:r>
                  <a:rPr lang="en-US" baseline="0"/>
                  <a:t> Volume (L/mol)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96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2</xdr:col>
          <xdr:colOff>9525</xdr:colOff>
          <xdr:row>8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Calculate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Molar Volume!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203200</xdr:colOff>
      <xdr:row>0</xdr:row>
      <xdr:rowOff>139700</xdr:rowOff>
    </xdr:from>
    <xdr:to>
      <xdr:col>7</xdr:col>
      <xdr:colOff>330200</xdr:colOff>
      <xdr:row>14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215900</xdr:colOff>
      <xdr:row>18</xdr:row>
      <xdr:rowOff>165100</xdr:rowOff>
    </xdr:from>
    <xdr:to>
      <xdr:col>7</xdr:col>
      <xdr:colOff>660400</xdr:colOff>
      <xdr:row>34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203200</xdr:colOff>
      <xdr:row>37</xdr:row>
      <xdr:rowOff>12700</xdr:rowOff>
    </xdr:from>
    <xdr:to>
      <xdr:col>7</xdr:col>
      <xdr:colOff>596900</xdr:colOff>
      <xdr:row>51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266700</xdr:colOff>
      <xdr:row>54</xdr:row>
      <xdr:rowOff>0</xdr:rowOff>
    </xdr:from>
    <xdr:to>
      <xdr:col>7</xdr:col>
      <xdr:colOff>711200</xdr:colOff>
      <xdr:row>69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climaco/Downloads/CHG3331%20Assignment1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Interface"/>
      <sheetName val="Chemical Species Database"/>
      <sheetName val="Validation"/>
      <sheetName val="Ideal Gas Results"/>
      <sheetName val="Sheet2"/>
    </sheetNames>
    <sheetDataSet>
      <sheetData sheetId="0" refreshError="1"/>
      <sheetData sheetId="1">
        <row r="3">
          <cell r="A3" t="str">
            <v>Air</v>
          </cell>
        </row>
        <row r="4">
          <cell r="A4" t="str">
            <v>Argon</v>
          </cell>
        </row>
        <row r="5">
          <cell r="A5" t="str">
            <v>Carbon Monoxide</v>
          </cell>
        </row>
        <row r="6">
          <cell r="A6" t="str">
            <v>Ethane</v>
          </cell>
        </row>
        <row r="7">
          <cell r="A7" t="str">
            <v>Ethylene</v>
          </cell>
        </row>
        <row r="8">
          <cell r="A8" t="str">
            <v>Helium 4</v>
          </cell>
        </row>
        <row r="9">
          <cell r="A9" t="str">
            <v>Hydrogen</v>
          </cell>
        </row>
        <row r="10">
          <cell r="A10" t="str">
            <v>Methane</v>
          </cell>
        </row>
        <row r="11">
          <cell r="A11" t="str">
            <v>Nitric Oxide</v>
          </cell>
        </row>
        <row r="12">
          <cell r="A12" t="str">
            <v>Nitrogen</v>
          </cell>
        </row>
        <row r="13">
          <cell r="A13" t="str">
            <v>Oxygen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48558"/>
  <sheetViews>
    <sheetView tabSelected="1" workbookViewId="0">
      <selection activeCell="L16" sqref="L16"/>
    </sheetView>
  </sheetViews>
  <sheetFormatPr defaultRowHeight="15" x14ac:dyDescent="0.25"/>
  <cols>
    <col min="1" max="2" width="9.140625" style="2"/>
    <col min="3" max="3" width="25.5703125" style="25" customWidth="1"/>
    <col min="4" max="4" width="25" style="25" customWidth="1"/>
    <col min="5" max="5" width="9.140625" style="2" customWidth="1"/>
    <col min="6" max="6" width="2.7109375" style="8" customWidth="1"/>
    <col min="7" max="7" width="9.140625" style="8" customWidth="1"/>
    <col min="8" max="8" width="2.85546875" style="8" customWidth="1"/>
    <col min="9" max="12" width="9.140625" style="15"/>
    <col min="13" max="16384" width="9.140625" style="16"/>
  </cols>
  <sheetData>
    <row r="1" spans="1:14" s="2" customFormat="1" x14ac:dyDescent="0.25">
      <c r="A1" s="30" t="s">
        <v>13</v>
      </c>
      <c r="B1" s="30"/>
      <c r="C1" s="31" t="s">
        <v>14</v>
      </c>
      <c r="D1" s="31"/>
      <c r="F1" s="26" t="s">
        <v>65</v>
      </c>
      <c r="G1" s="26"/>
      <c r="H1" s="26"/>
      <c r="I1" s="26"/>
      <c r="J1" s="26"/>
      <c r="K1" s="26"/>
      <c r="L1" s="26"/>
      <c r="M1" s="26"/>
      <c r="N1" s="26"/>
    </row>
    <row r="2" spans="1:14" s="2" customFormat="1" ht="15" customHeight="1" x14ac:dyDescent="0.25">
      <c r="A2" s="30"/>
      <c r="B2" s="30"/>
      <c r="C2" s="31"/>
      <c r="D2" s="31"/>
      <c r="E2" s="13"/>
      <c r="F2" s="8"/>
      <c r="G2" s="8"/>
      <c r="H2" s="8"/>
      <c r="I2" s="8"/>
      <c r="J2" s="8"/>
      <c r="K2" s="8"/>
      <c r="L2" s="8"/>
    </row>
    <row r="3" spans="1:14" s="2" customFormat="1" x14ac:dyDescent="0.25">
      <c r="A3" s="10" t="s">
        <v>0</v>
      </c>
      <c r="B3" s="10"/>
      <c r="C3" s="14" t="s">
        <v>2</v>
      </c>
      <c r="D3" s="14" t="s">
        <v>1</v>
      </c>
      <c r="E3" s="13"/>
      <c r="F3" s="8"/>
      <c r="G3" s="8"/>
      <c r="H3" s="8"/>
      <c r="I3" s="26" t="s">
        <v>66</v>
      </c>
      <c r="J3" s="26"/>
      <c r="K3" s="8"/>
      <c r="L3" s="8"/>
    </row>
    <row r="4" spans="1:14" s="11" customFormat="1" x14ac:dyDescent="0.25">
      <c r="A4" s="27" t="s">
        <v>8</v>
      </c>
      <c r="B4" s="28"/>
      <c r="C4" s="9">
        <v>1</v>
      </c>
      <c r="D4" s="9">
        <v>200</v>
      </c>
      <c r="E4" s="2"/>
      <c r="F4" s="26" t="s">
        <v>15</v>
      </c>
      <c r="G4" s="26"/>
      <c r="H4" s="26"/>
      <c r="I4" s="8">
        <v>200</v>
      </c>
      <c r="J4" s="8">
        <v>300</v>
      </c>
      <c r="K4" s="8">
        <v>400</v>
      </c>
      <c r="L4" s="8">
        <v>500</v>
      </c>
      <c r="M4" s="11">
        <v>600</v>
      </c>
      <c r="N4" s="11">
        <v>700</v>
      </c>
    </row>
    <row r="5" spans="1:14" x14ac:dyDescent="0.25">
      <c r="B5" s="6"/>
      <c r="C5" s="9">
        <v>5</v>
      </c>
      <c r="D5" s="9">
        <v>300</v>
      </c>
      <c r="G5" s="8">
        <v>1</v>
      </c>
      <c r="I5" s="15">
        <v>16.520351007703844</v>
      </c>
      <c r="J5" s="15">
        <v>24.900865309508017</v>
      </c>
      <c r="K5" s="15">
        <v>33.243744904135646</v>
      </c>
      <c r="L5" s="15">
        <v>41.57334164388638</v>
      </c>
      <c r="M5" s="16">
        <v>49.895962538722621</v>
      </c>
      <c r="N5" s="16">
        <v>58.215719109885427</v>
      </c>
    </row>
    <row r="6" spans="1:14" x14ac:dyDescent="0.25">
      <c r="A6" s="26" t="s">
        <v>25</v>
      </c>
      <c r="B6" s="29"/>
      <c r="C6" s="9">
        <v>30</v>
      </c>
      <c r="D6" s="9">
        <v>400</v>
      </c>
      <c r="G6" s="8">
        <v>5</v>
      </c>
      <c r="I6" s="15">
        <v>3.2166258419551559</v>
      </c>
      <c r="J6" s="15">
        <v>4.9475093573868465</v>
      </c>
      <c r="K6" s="15">
        <v>6.6392571297875946</v>
      </c>
      <c r="L6" s="15">
        <v>8.3174426608876555</v>
      </c>
      <c r="M6" s="16">
        <v>9.9893840159351583</v>
      </c>
      <c r="N6" s="16">
        <v>11.657844859470016</v>
      </c>
    </row>
    <row r="7" spans="1:14" x14ac:dyDescent="0.25">
      <c r="A7" s="1"/>
      <c r="B7" s="1"/>
      <c r="C7" s="9">
        <v>50</v>
      </c>
      <c r="D7" s="9">
        <v>500</v>
      </c>
      <c r="G7" s="8">
        <v>30</v>
      </c>
      <c r="I7" s="15">
        <v>0.43098997905181846</v>
      </c>
      <c r="J7" s="15">
        <v>0.79209925224045408</v>
      </c>
      <c r="K7" s="15">
        <v>1.0982137067788096</v>
      </c>
      <c r="L7" s="15">
        <v>1.3901691348896006</v>
      </c>
      <c r="M7" s="16">
        <v>1.6760007732527573</v>
      </c>
      <c r="N7" s="16">
        <v>1.958628733831004</v>
      </c>
    </row>
    <row r="8" spans="1:14" x14ac:dyDescent="0.25">
      <c r="A8" s="12"/>
      <c r="B8" s="1"/>
      <c r="C8" s="9">
        <v>100</v>
      </c>
      <c r="D8" s="9">
        <v>600</v>
      </c>
      <c r="G8" s="8">
        <v>50</v>
      </c>
      <c r="I8" s="15">
        <v>0.18456432067691661</v>
      </c>
      <c r="J8" s="15">
        <v>0.461198871125028</v>
      </c>
      <c r="K8" s="15">
        <v>0.65609026645408974</v>
      </c>
      <c r="L8" s="15">
        <v>0.83669698057841513</v>
      </c>
      <c r="M8" s="16">
        <v>1.0113473162980129</v>
      </c>
      <c r="N8" s="16">
        <v>1.1829225847646809</v>
      </c>
    </row>
    <row r="9" spans="1:14" x14ac:dyDescent="0.25">
      <c r="C9" s="9"/>
      <c r="D9" s="9">
        <v>700</v>
      </c>
      <c r="G9" s="8">
        <v>100</v>
      </c>
      <c r="I9" s="15">
        <v>6.6132330236288617E-2</v>
      </c>
      <c r="J9" s="15">
        <v>0.21746364975991994</v>
      </c>
      <c r="K9" s="15">
        <v>0.32682936580823646</v>
      </c>
      <c r="L9" s="15">
        <v>0.42290595561366973</v>
      </c>
      <c r="M9" s="16">
        <v>0.51365745659001727</v>
      </c>
      <c r="N9" s="16">
        <v>0.60166118163122495</v>
      </c>
    </row>
    <row r="10" spans="1:14" x14ac:dyDescent="0.25">
      <c r="A10" s="26" t="s">
        <v>12</v>
      </c>
      <c r="B10" s="29"/>
      <c r="C10" s="9"/>
      <c r="D10" s="9"/>
      <c r="I10" s="16"/>
      <c r="J10" s="16"/>
      <c r="K10" s="16"/>
      <c r="L10" s="16"/>
    </row>
    <row r="11" spans="1:14" x14ac:dyDescent="0.25">
      <c r="A11" s="11" t="s">
        <v>5</v>
      </c>
      <c r="B11" s="2">
        <f>VLOOKUP(A4, 'Chemical Species Database'!A3:D13, 2, FALSE)</f>
        <v>1.2E-2</v>
      </c>
      <c r="C11" s="9"/>
      <c r="D11" s="9"/>
    </row>
    <row r="12" spans="1:14" x14ac:dyDescent="0.25">
      <c r="A12" s="11" t="s">
        <v>10</v>
      </c>
      <c r="B12" s="2">
        <f>VLOOKUP(A4, 'Chemical Species Database'!A3:D13, 3, FALSE)</f>
        <v>190.6</v>
      </c>
      <c r="C12" s="9"/>
      <c r="D12" s="9"/>
    </row>
    <row r="13" spans="1:14" x14ac:dyDescent="0.25">
      <c r="A13" s="8" t="s">
        <v>11</v>
      </c>
      <c r="B13" s="15">
        <f>VLOOKUP(A4, 'Chemical Species Database'!A3:D13, 4, FALSE)</f>
        <v>45.99</v>
      </c>
      <c r="C13" s="9"/>
      <c r="D13" s="9"/>
    </row>
    <row r="14" spans="1:14" x14ac:dyDescent="0.25">
      <c r="C14" s="9"/>
      <c r="D14" s="9"/>
    </row>
    <row r="15" spans="1:14" x14ac:dyDescent="0.25">
      <c r="C15" s="9"/>
      <c r="D15" s="9"/>
    </row>
    <row r="16" spans="1:14" x14ac:dyDescent="0.25">
      <c r="C16" s="9"/>
      <c r="D16" s="9"/>
    </row>
    <row r="17" spans="3:4" x14ac:dyDescent="0.25">
      <c r="C17" s="9"/>
      <c r="D17" s="9"/>
    </row>
    <row r="18" spans="3:4" x14ac:dyDescent="0.25">
      <c r="C18" s="9"/>
      <c r="D18" s="9"/>
    </row>
    <row r="19" spans="3:4" x14ac:dyDescent="0.25">
      <c r="C19" s="9"/>
      <c r="D19" s="9"/>
    </row>
    <row r="20" spans="3:4" x14ac:dyDescent="0.25">
      <c r="C20" s="9"/>
      <c r="D20" s="9"/>
    </row>
    <row r="21" spans="3:4" x14ac:dyDescent="0.25">
      <c r="C21" s="9"/>
      <c r="D21" s="9"/>
    </row>
    <row r="22" spans="3:4" x14ac:dyDescent="0.25">
      <c r="C22" s="9"/>
      <c r="D22" s="9"/>
    </row>
    <row r="23" spans="3:4" x14ac:dyDescent="0.25">
      <c r="C23" s="9"/>
      <c r="D23" s="9"/>
    </row>
    <row r="24" spans="3:4" x14ac:dyDescent="0.25">
      <c r="C24" s="9"/>
      <c r="D24" s="9"/>
    </row>
    <row r="25" spans="3:4" x14ac:dyDescent="0.25">
      <c r="C25" s="9"/>
      <c r="D25" s="9"/>
    </row>
    <row r="26" spans="3:4" x14ac:dyDescent="0.25">
      <c r="C26" s="9"/>
      <c r="D26" s="9"/>
    </row>
    <row r="27" spans="3:4" x14ac:dyDescent="0.25">
      <c r="C27" s="9"/>
      <c r="D27" s="9"/>
    </row>
    <row r="28" spans="3:4" x14ac:dyDescent="0.25">
      <c r="C28" s="9"/>
      <c r="D28" s="9"/>
    </row>
    <row r="29" spans="3:4" x14ac:dyDescent="0.25">
      <c r="C29" s="9"/>
      <c r="D29" s="9"/>
    </row>
    <row r="30" spans="3:4" x14ac:dyDescent="0.25">
      <c r="C30" s="9"/>
      <c r="D30" s="9"/>
    </row>
    <row r="31" spans="3:4" x14ac:dyDescent="0.25">
      <c r="C31" s="9"/>
      <c r="D31" s="9"/>
    </row>
    <row r="32" spans="3:4" x14ac:dyDescent="0.25">
      <c r="C32" s="9"/>
      <c r="D32" s="9"/>
    </row>
    <row r="33" spans="3:4" x14ac:dyDescent="0.25">
      <c r="C33" s="9"/>
      <c r="D33" s="9"/>
    </row>
    <row r="34" spans="3:4" x14ac:dyDescent="0.25">
      <c r="C34" s="9"/>
      <c r="D34" s="9"/>
    </row>
    <row r="35" spans="3:4" x14ac:dyDescent="0.25">
      <c r="C35" s="9"/>
      <c r="D35" s="9"/>
    </row>
    <row r="36" spans="3:4" x14ac:dyDescent="0.25">
      <c r="C36" s="9"/>
      <c r="D36" s="9"/>
    </row>
    <row r="37" spans="3:4" x14ac:dyDescent="0.25">
      <c r="C37" s="9"/>
      <c r="D37" s="9"/>
    </row>
    <row r="38" spans="3:4" x14ac:dyDescent="0.25">
      <c r="C38" s="9"/>
      <c r="D38" s="9"/>
    </row>
    <row r="39" spans="3:4" x14ac:dyDescent="0.25">
      <c r="C39" s="9"/>
      <c r="D39" s="9"/>
    </row>
    <row r="40" spans="3:4" x14ac:dyDescent="0.25">
      <c r="C40" s="9"/>
      <c r="D40" s="9"/>
    </row>
    <row r="41" spans="3:4" x14ac:dyDescent="0.25">
      <c r="C41" s="9"/>
      <c r="D41" s="9"/>
    </row>
    <row r="42" spans="3:4" x14ac:dyDescent="0.25">
      <c r="C42" s="9"/>
      <c r="D42" s="9"/>
    </row>
    <row r="43" spans="3:4" x14ac:dyDescent="0.25">
      <c r="C43" s="9"/>
      <c r="D43" s="9"/>
    </row>
    <row r="44" spans="3:4" x14ac:dyDescent="0.25">
      <c r="C44" s="9"/>
      <c r="D44" s="9"/>
    </row>
    <row r="45" spans="3:4" x14ac:dyDescent="0.25">
      <c r="C45" s="9"/>
      <c r="D45" s="9"/>
    </row>
    <row r="46" spans="3:4" x14ac:dyDescent="0.25">
      <c r="C46" s="9"/>
      <c r="D46" s="9"/>
    </row>
    <row r="47" spans="3:4" x14ac:dyDescent="0.25">
      <c r="C47" s="9"/>
      <c r="D47" s="9"/>
    </row>
    <row r="48" spans="3:4" x14ac:dyDescent="0.25">
      <c r="C48" s="9"/>
      <c r="D48" s="9"/>
    </row>
    <row r="49" spans="3:4" x14ac:dyDescent="0.25">
      <c r="C49" s="9"/>
      <c r="D49" s="9"/>
    </row>
    <row r="50" spans="3:4" x14ac:dyDescent="0.25">
      <c r="C50" s="9"/>
      <c r="D50" s="9"/>
    </row>
    <row r="51" spans="3:4" x14ac:dyDescent="0.25">
      <c r="C51" s="9"/>
      <c r="D51" s="9"/>
    </row>
    <row r="52" spans="3:4" x14ac:dyDescent="0.25">
      <c r="C52" s="9"/>
      <c r="D52" s="9"/>
    </row>
    <row r="53" spans="3:4" x14ac:dyDescent="0.25">
      <c r="C53" s="9"/>
      <c r="D53" s="9"/>
    </row>
    <row r="54" spans="3:4" x14ac:dyDescent="0.25">
      <c r="C54" s="9"/>
      <c r="D54" s="9"/>
    </row>
    <row r="55" spans="3:4" x14ac:dyDescent="0.25">
      <c r="C55" s="9"/>
      <c r="D55" s="9"/>
    </row>
    <row r="56" spans="3:4" x14ac:dyDescent="0.25">
      <c r="C56" s="9"/>
      <c r="D56" s="9"/>
    </row>
    <row r="57" spans="3:4" x14ac:dyDescent="0.25">
      <c r="C57" s="9"/>
      <c r="D57" s="9"/>
    </row>
    <row r="58" spans="3:4" x14ac:dyDescent="0.25">
      <c r="C58" s="9"/>
      <c r="D58" s="9"/>
    </row>
    <row r="59" spans="3:4" x14ac:dyDescent="0.25">
      <c r="C59" s="9"/>
      <c r="D59" s="9"/>
    </row>
    <row r="60" spans="3:4" x14ac:dyDescent="0.25">
      <c r="C60" s="9"/>
      <c r="D60" s="9"/>
    </row>
    <row r="61" spans="3:4" x14ac:dyDescent="0.25">
      <c r="C61" s="9"/>
      <c r="D61" s="9"/>
    </row>
    <row r="62" spans="3:4" x14ac:dyDescent="0.25">
      <c r="C62" s="9"/>
      <c r="D62" s="9"/>
    </row>
    <row r="63" spans="3:4" x14ac:dyDescent="0.25">
      <c r="C63" s="9"/>
      <c r="D63" s="9"/>
    </row>
    <row r="64" spans="3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C68" s="9"/>
      <c r="D68" s="9"/>
    </row>
    <row r="69" spans="3:4" x14ac:dyDescent="0.25">
      <c r="C69" s="9"/>
      <c r="D69" s="9"/>
    </row>
    <row r="70" spans="3:4" x14ac:dyDescent="0.25">
      <c r="C70" s="9"/>
      <c r="D70" s="9"/>
    </row>
    <row r="71" spans="3:4" x14ac:dyDescent="0.25">
      <c r="C71" s="9"/>
      <c r="D71" s="9"/>
    </row>
    <row r="72" spans="3:4" x14ac:dyDescent="0.25">
      <c r="C72" s="9"/>
      <c r="D72" s="9"/>
    </row>
    <row r="73" spans="3:4" x14ac:dyDescent="0.25">
      <c r="C73" s="9"/>
      <c r="D73" s="9"/>
    </row>
    <row r="74" spans="3:4" x14ac:dyDescent="0.25">
      <c r="C74" s="9"/>
      <c r="D74" s="9"/>
    </row>
    <row r="75" spans="3:4" x14ac:dyDescent="0.25">
      <c r="C75" s="9"/>
      <c r="D75" s="9"/>
    </row>
    <row r="76" spans="3:4" x14ac:dyDescent="0.25">
      <c r="C76" s="9"/>
      <c r="D76" s="9"/>
    </row>
    <row r="77" spans="3:4" x14ac:dyDescent="0.25">
      <c r="C77" s="9"/>
      <c r="D77" s="9"/>
    </row>
    <row r="78" spans="3:4" x14ac:dyDescent="0.25">
      <c r="C78" s="9"/>
      <c r="D78" s="9"/>
    </row>
    <row r="79" spans="3:4" x14ac:dyDescent="0.25">
      <c r="C79" s="9"/>
      <c r="D79" s="9"/>
    </row>
    <row r="80" spans="3:4" x14ac:dyDescent="0.25">
      <c r="C80" s="9"/>
      <c r="D80" s="9"/>
    </row>
    <row r="81" spans="3:4" x14ac:dyDescent="0.25">
      <c r="C81" s="9"/>
      <c r="D81" s="9"/>
    </row>
    <row r="82" spans="3:4" x14ac:dyDescent="0.25">
      <c r="C82" s="9"/>
      <c r="D82" s="9"/>
    </row>
    <row r="83" spans="3:4" x14ac:dyDescent="0.25">
      <c r="C83" s="9"/>
      <c r="D83" s="9"/>
    </row>
    <row r="84" spans="3:4" x14ac:dyDescent="0.25">
      <c r="C84" s="9"/>
      <c r="D84" s="9"/>
    </row>
    <row r="85" spans="3:4" x14ac:dyDescent="0.25">
      <c r="C85" s="9"/>
      <c r="D85" s="9"/>
    </row>
    <row r="86" spans="3:4" x14ac:dyDescent="0.25">
      <c r="C86" s="9"/>
      <c r="D86" s="9"/>
    </row>
    <row r="87" spans="3:4" x14ac:dyDescent="0.25">
      <c r="C87" s="9"/>
      <c r="D87" s="9"/>
    </row>
    <row r="88" spans="3:4" x14ac:dyDescent="0.25">
      <c r="C88" s="9"/>
      <c r="D88" s="9"/>
    </row>
    <row r="89" spans="3:4" x14ac:dyDescent="0.25">
      <c r="C89" s="9"/>
      <c r="D89" s="9"/>
    </row>
    <row r="90" spans="3:4" x14ac:dyDescent="0.25">
      <c r="C90" s="9"/>
      <c r="D90" s="9"/>
    </row>
    <row r="91" spans="3:4" x14ac:dyDescent="0.25">
      <c r="C91" s="9"/>
      <c r="D91" s="9"/>
    </row>
    <row r="92" spans="3:4" x14ac:dyDescent="0.25">
      <c r="C92" s="9"/>
      <c r="D92" s="9"/>
    </row>
    <row r="93" spans="3:4" x14ac:dyDescent="0.25">
      <c r="C93" s="9"/>
      <c r="D93" s="9"/>
    </row>
    <row r="94" spans="3:4" x14ac:dyDescent="0.25">
      <c r="C94" s="9"/>
      <c r="D94" s="9"/>
    </row>
    <row r="95" spans="3:4" x14ac:dyDescent="0.25">
      <c r="C95" s="9"/>
      <c r="D95" s="9"/>
    </row>
    <row r="96" spans="3:4" x14ac:dyDescent="0.25">
      <c r="C96" s="9"/>
      <c r="D96" s="9"/>
    </row>
    <row r="97" spans="3:4" x14ac:dyDescent="0.25">
      <c r="C97" s="9"/>
      <c r="D97" s="9"/>
    </row>
    <row r="98" spans="3:4" x14ac:dyDescent="0.25">
      <c r="C98" s="9"/>
      <c r="D98" s="9"/>
    </row>
    <row r="99" spans="3:4" x14ac:dyDescent="0.25">
      <c r="C99" s="9"/>
      <c r="D99" s="9"/>
    </row>
    <row r="100" spans="3:4" x14ac:dyDescent="0.25">
      <c r="C100" s="9"/>
      <c r="D100" s="9"/>
    </row>
    <row r="101" spans="3:4" x14ac:dyDescent="0.25">
      <c r="C101" s="9"/>
      <c r="D101" s="9"/>
    </row>
    <row r="102" spans="3:4" x14ac:dyDescent="0.25">
      <c r="C102" s="9"/>
      <c r="D102" s="9"/>
    </row>
    <row r="103" spans="3:4" x14ac:dyDescent="0.25">
      <c r="C103" s="9"/>
      <c r="D103" s="9"/>
    </row>
    <row r="1048558" spans="5:5" x14ac:dyDescent="0.25">
      <c r="E1048558" s="17"/>
    </row>
  </sheetData>
  <sheetProtection algorithmName="SHA-512" hashValue="EAeHqbSg7ki0xCuv2bP4dwp7ktkqfjsNPQBxILbl4NhUAAMsF7Pul4w9AxqNekX8U5teDb9xw32uUTSZHyztYQ==" saltValue="nHiRtWeSVmQif6WviNLFSA==" spinCount="100000" sheet="1" objects="1" scenarios="1"/>
  <mergeCells count="8">
    <mergeCell ref="F1:N1"/>
    <mergeCell ref="I3:J3"/>
    <mergeCell ref="F4:H4"/>
    <mergeCell ref="A4:B4"/>
    <mergeCell ref="A10:B10"/>
    <mergeCell ref="A1:B2"/>
    <mergeCell ref="C1:D2"/>
    <mergeCell ref="A6:B6"/>
  </mergeCells>
  <dataValidations count="1">
    <dataValidation type="list" allowBlank="1" showInputMessage="1" showErrorMessage="1" sqref="A4:B4">
      <formula1>ValidElements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calculateMolarVolume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"/>
  <sheetViews>
    <sheetView workbookViewId="0">
      <selection activeCell="H10" sqref="H10"/>
    </sheetView>
  </sheetViews>
  <sheetFormatPr defaultRowHeight="15" x14ac:dyDescent="0.25"/>
  <cols>
    <col min="1" max="1" width="14.140625" customWidth="1"/>
  </cols>
  <sheetData>
    <row r="1" spans="1:8" x14ac:dyDescent="0.25">
      <c r="A1" s="19" t="s">
        <v>50</v>
      </c>
      <c r="B1" s="19"/>
      <c r="C1" s="19"/>
      <c r="D1" s="19"/>
      <c r="E1" s="19"/>
      <c r="F1" s="19"/>
      <c r="G1" s="19"/>
      <c r="H1" s="19"/>
    </row>
    <row r="2" spans="1:8" x14ac:dyDescent="0.25">
      <c r="A2" s="19"/>
      <c r="B2" s="19" t="s">
        <v>1</v>
      </c>
      <c r="C2" s="19"/>
      <c r="D2" s="19"/>
      <c r="E2" s="19"/>
      <c r="F2" s="19"/>
      <c r="G2" s="19"/>
      <c r="H2" s="19"/>
    </row>
    <row r="3" spans="1:8" x14ac:dyDescent="0.25">
      <c r="A3" s="19" t="s">
        <v>15</v>
      </c>
      <c r="B3" s="19">
        <v>200</v>
      </c>
      <c r="C3" s="19">
        <v>300</v>
      </c>
      <c r="D3" s="19">
        <v>400</v>
      </c>
      <c r="E3" s="19">
        <v>500</v>
      </c>
      <c r="F3" s="19">
        <v>600</v>
      </c>
      <c r="G3" s="19">
        <v>700</v>
      </c>
      <c r="H3" s="19"/>
    </row>
    <row r="4" spans="1:8" x14ac:dyDescent="0.25">
      <c r="A4" s="19">
        <v>1</v>
      </c>
      <c r="B4">
        <v>16.627665040232088</v>
      </c>
      <c r="C4">
        <v>24.941998861651236</v>
      </c>
      <c r="D4">
        <v>33.255831909505567</v>
      </c>
      <c r="E4">
        <v>41.569987755454243</v>
      </c>
      <c r="F4">
        <v>49.883438379585698</v>
      </c>
      <c r="G4">
        <v>58.19746764243434</v>
      </c>
    </row>
    <row r="5" spans="1:8" x14ac:dyDescent="0.25">
      <c r="A5" s="19">
        <v>5</v>
      </c>
      <c r="B5">
        <v>3.3255999849508391</v>
      </c>
      <c r="C5">
        <v>4.9883999752277361</v>
      </c>
      <c r="D5">
        <v>6.65105331897787</v>
      </c>
      <c r="E5">
        <v>8.3139998722456632</v>
      </c>
      <c r="F5">
        <v>9.976799925291143</v>
      </c>
      <c r="G5">
        <v>11.639599671380358</v>
      </c>
    </row>
    <row r="6" spans="1:8" x14ac:dyDescent="0.25">
      <c r="A6" s="19">
        <v>30</v>
      </c>
      <c r="B6">
        <v>0.55425917332567409</v>
      </c>
      <c r="C6">
        <v>0.83139999792288799</v>
      </c>
      <c r="D6">
        <v>1.1085330721594933</v>
      </c>
      <c r="E6">
        <v>1.3856666421170731</v>
      </c>
      <c r="F6">
        <v>1.6627905163739582</v>
      </c>
      <c r="G6">
        <v>1.9399309690897275</v>
      </c>
    </row>
    <row r="7" spans="1:8" x14ac:dyDescent="0.25">
      <c r="A7" s="19">
        <v>50</v>
      </c>
      <c r="B7">
        <v>0.33255691625231099</v>
      </c>
      <c r="C7">
        <v>0.49883314203420848</v>
      </c>
      <c r="D7">
        <v>0.66511336602743165</v>
      </c>
      <c r="E7">
        <v>0.83139999792288799</v>
      </c>
      <c r="F7">
        <v>0.99767986148184318</v>
      </c>
      <c r="G7">
        <v>1.1639597537714463</v>
      </c>
    </row>
    <row r="8" spans="1:8" x14ac:dyDescent="0.25">
      <c r="A8" s="19">
        <v>100</v>
      </c>
      <c r="B8">
        <v>0.16628171846121148</v>
      </c>
      <c r="C8">
        <v>0.24942631948045013</v>
      </c>
      <c r="D8">
        <v>0.33255691625231099</v>
      </c>
      <c r="E8">
        <v>0.41569475351376417</v>
      </c>
      <c r="F8">
        <v>0.49883314203420848</v>
      </c>
      <c r="G8">
        <v>0.58197240096230818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activeCell="I10" sqref="I10"/>
    </sheetView>
  </sheetViews>
  <sheetFormatPr defaultRowHeight="15" x14ac:dyDescent="0.25"/>
  <cols>
    <col min="1" max="1" width="15.140625" customWidth="1"/>
  </cols>
  <sheetData>
    <row r="1" spans="1:8" x14ac:dyDescent="0.25">
      <c r="A1" s="19" t="s">
        <v>51</v>
      </c>
      <c r="B1" s="19"/>
      <c r="C1" s="19"/>
      <c r="D1" s="19"/>
      <c r="E1" s="19"/>
      <c r="F1" s="19"/>
      <c r="G1" s="19"/>
      <c r="H1" s="19"/>
    </row>
    <row r="2" spans="1:8" x14ac:dyDescent="0.25">
      <c r="A2" s="19"/>
      <c r="B2" s="19" t="s">
        <v>1</v>
      </c>
      <c r="C2" s="19"/>
      <c r="D2" s="19"/>
      <c r="E2" s="19"/>
      <c r="F2" s="19"/>
      <c r="G2" s="19"/>
      <c r="H2" s="19"/>
    </row>
    <row r="3" spans="1:8" x14ac:dyDescent="0.25">
      <c r="A3" s="19" t="s">
        <v>15</v>
      </c>
      <c r="B3" s="19">
        <v>200</v>
      </c>
      <c r="C3" s="19">
        <v>300</v>
      </c>
      <c r="D3" s="19">
        <v>400</v>
      </c>
      <c r="E3" s="19">
        <v>500</v>
      </c>
      <c r="F3" s="19">
        <v>600</v>
      </c>
      <c r="G3" s="19">
        <v>700</v>
      </c>
      <c r="H3" s="19"/>
    </row>
    <row r="4" spans="1:8" x14ac:dyDescent="0.25">
      <c r="A4" s="19">
        <v>1</v>
      </c>
      <c r="B4">
        <v>0.6495868791056596</v>
      </c>
      <c r="C4">
        <v>0.16518924797168533</v>
      </c>
      <c r="D4">
        <v>3.6358735770520907E-2</v>
      </c>
      <c r="E4">
        <v>8.0674016076611524E-3</v>
      </c>
      <c r="F4">
        <v>2.5100546215945999E-2</v>
      </c>
      <c r="G4">
        <v>3.1351442067796671E-2</v>
      </c>
    </row>
    <row r="5" spans="1:8" x14ac:dyDescent="0.25">
      <c r="A5" s="19">
        <v>5</v>
      </c>
      <c r="B5">
        <v>3.3878401887564777</v>
      </c>
      <c r="C5">
        <v>0.82648894397416717</v>
      </c>
      <c r="D5">
        <v>0.17767332940534494</v>
      </c>
      <c r="E5">
        <v>4.1392394060999767E-2</v>
      </c>
      <c r="F5">
        <v>0.12597464091820951</v>
      </c>
      <c r="G5">
        <v>0.15650566901168533</v>
      </c>
    </row>
    <row r="6" spans="1:8" x14ac:dyDescent="0.25">
      <c r="A6" s="19">
        <v>30</v>
      </c>
      <c r="B6">
        <v>28.601406126668859</v>
      </c>
      <c r="C6">
        <v>4.9615935845503811</v>
      </c>
      <c r="D6">
        <v>0.93965002594545943</v>
      </c>
      <c r="E6">
        <v>0.32388093358762554</v>
      </c>
      <c r="F6">
        <v>0.78820112076444904</v>
      </c>
      <c r="G6">
        <v>0.95463547625508216</v>
      </c>
    </row>
    <row r="7" spans="1:8" x14ac:dyDescent="0.25">
      <c r="A7" s="19">
        <v>50</v>
      </c>
      <c r="B7">
        <v>80.184834767960524</v>
      </c>
      <c r="C7">
        <v>8.1600960595105345</v>
      </c>
      <c r="D7">
        <v>1.3752832551697831</v>
      </c>
      <c r="E7">
        <v>0.6330825589767628</v>
      </c>
      <c r="F7">
        <v>1.3514105981117106</v>
      </c>
      <c r="G7">
        <v>1.6030491967491578</v>
      </c>
    </row>
    <row r="8" spans="1:8" x14ac:dyDescent="0.25">
      <c r="A8" s="19">
        <v>100</v>
      </c>
      <c r="B8">
        <v>151.43786385129999</v>
      </c>
      <c r="C8">
        <v>14.69793676130103</v>
      </c>
      <c r="D8">
        <v>1.7524589413532388</v>
      </c>
      <c r="E8">
        <v>1.7051550124049533</v>
      </c>
      <c r="F8">
        <v>2.8860312189804387</v>
      </c>
      <c r="G8">
        <v>3.2724033509252686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"/>
  <sheetViews>
    <sheetView workbookViewId="0">
      <selection activeCell="D11" sqref="D11"/>
    </sheetView>
  </sheetViews>
  <sheetFormatPr defaultRowHeight="15" x14ac:dyDescent="0.25"/>
  <cols>
    <col min="1" max="1" width="18.7109375" customWidth="1"/>
    <col min="2" max="4" width="10.7109375" customWidth="1"/>
  </cols>
  <sheetData>
    <row r="1" spans="1:5" x14ac:dyDescent="0.25">
      <c r="A1" s="32" t="s">
        <v>3</v>
      </c>
      <c r="B1" s="32"/>
      <c r="C1" s="32"/>
      <c r="D1" s="32"/>
      <c r="E1" s="3"/>
    </row>
    <row r="2" spans="1:5" x14ac:dyDescent="0.25">
      <c r="A2" s="18" t="s">
        <v>4</v>
      </c>
      <c r="B2" s="18" t="s">
        <v>5</v>
      </c>
      <c r="C2" s="18" t="s">
        <v>6</v>
      </c>
      <c r="D2" s="18" t="s">
        <v>7</v>
      </c>
    </row>
    <row r="3" spans="1:5" x14ac:dyDescent="0.25">
      <c r="A3" s="4" t="s">
        <v>22</v>
      </c>
      <c r="B3" s="5">
        <v>3.5000000000000003E-2</v>
      </c>
      <c r="C3" s="4">
        <v>132.19999999999999</v>
      </c>
      <c r="D3" s="7">
        <v>37.450000000000003</v>
      </c>
    </row>
    <row r="4" spans="1:5" x14ac:dyDescent="0.25">
      <c r="A4" s="4" t="s">
        <v>16</v>
      </c>
      <c r="B4" s="5">
        <v>0</v>
      </c>
      <c r="C4" s="4">
        <v>150.9</v>
      </c>
      <c r="D4" s="7">
        <v>48.98</v>
      </c>
    </row>
    <row r="5" spans="1:5" x14ac:dyDescent="0.25">
      <c r="A5" s="4" t="s">
        <v>24</v>
      </c>
      <c r="B5" s="5">
        <v>4.8000000000000001E-2</v>
      </c>
      <c r="C5" s="4">
        <v>132.9</v>
      </c>
      <c r="D5" s="7">
        <v>34.99</v>
      </c>
    </row>
    <row r="6" spans="1:5" x14ac:dyDescent="0.25">
      <c r="A6" s="4" t="s">
        <v>9</v>
      </c>
      <c r="B6" s="5">
        <v>0.1</v>
      </c>
      <c r="C6" s="4">
        <v>305.3</v>
      </c>
      <c r="D6" s="7">
        <v>48.72</v>
      </c>
    </row>
    <row r="7" spans="1:5" x14ac:dyDescent="0.25">
      <c r="A7" s="4" t="s">
        <v>17</v>
      </c>
      <c r="B7" s="5">
        <v>8.6999999999999994E-2</v>
      </c>
      <c r="C7" s="4">
        <v>282.3</v>
      </c>
      <c r="D7" s="7">
        <v>50.4</v>
      </c>
    </row>
    <row r="8" spans="1:5" x14ac:dyDescent="0.25">
      <c r="A8" s="4" t="s">
        <v>18</v>
      </c>
      <c r="B8" s="5">
        <v>-0.39</v>
      </c>
      <c r="C8" s="4">
        <v>5.2</v>
      </c>
      <c r="D8" s="7">
        <v>2.2799999999999998</v>
      </c>
    </row>
    <row r="9" spans="1:5" x14ac:dyDescent="0.25">
      <c r="A9" s="4" t="s">
        <v>19</v>
      </c>
      <c r="B9" s="5">
        <v>-0.216</v>
      </c>
      <c r="C9" s="4">
        <v>33.19</v>
      </c>
      <c r="D9" s="7">
        <v>13.13</v>
      </c>
    </row>
    <row r="10" spans="1:5" x14ac:dyDescent="0.25">
      <c r="A10" s="4" t="s">
        <v>8</v>
      </c>
      <c r="B10" s="5">
        <v>1.2E-2</v>
      </c>
      <c r="C10" s="4">
        <v>190.6</v>
      </c>
      <c r="D10" s="7">
        <v>45.99</v>
      </c>
    </row>
    <row r="11" spans="1:5" x14ac:dyDescent="0.25">
      <c r="A11" s="4" t="s">
        <v>23</v>
      </c>
      <c r="B11" s="5">
        <v>0.58299999999999996</v>
      </c>
      <c r="C11" s="4">
        <v>180.2</v>
      </c>
      <c r="D11" s="7">
        <v>64.8</v>
      </c>
    </row>
    <row r="12" spans="1:5" x14ac:dyDescent="0.25">
      <c r="A12" s="4" t="s">
        <v>21</v>
      </c>
      <c r="B12" s="5">
        <v>3.7999999999999999E-2</v>
      </c>
      <c r="C12" s="4">
        <v>126.2</v>
      </c>
      <c r="D12" s="7">
        <v>34</v>
      </c>
    </row>
    <row r="13" spans="1:5" x14ac:dyDescent="0.25">
      <c r="A13" s="4" t="s">
        <v>20</v>
      </c>
      <c r="B13" s="5">
        <v>2.1999999999999999E-2</v>
      </c>
      <c r="C13" s="4">
        <v>154.6</v>
      </c>
      <c r="D13" s="7">
        <v>50.43</v>
      </c>
    </row>
  </sheetData>
  <sortState ref="A3:D13">
    <sortCondition ref="A3:A13"/>
  </sortState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47"/>
  <sheetViews>
    <sheetView topLeftCell="N1" workbookViewId="0">
      <selection activeCell="W5" sqref="W5"/>
    </sheetView>
  </sheetViews>
  <sheetFormatPr defaultRowHeight="15" x14ac:dyDescent="0.25"/>
  <cols>
    <col min="3" max="3" width="14" style="20" customWidth="1"/>
    <col min="12" max="12" width="11.42578125" customWidth="1"/>
    <col min="13" max="13" width="13.140625" customWidth="1"/>
    <col min="14" max="14" width="14.85546875" customWidth="1"/>
    <col min="15" max="15" width="14" customWidth="1"/>
  </cols>
  <sheetData>
    <row r="1" spans="1:25" x14ac:dyDescent="0.25">
      <c r="A1" s="19" t="s">
        <v>26</v>
      </c>
      <c r="C1" s="33" t="s">
        <v>31</v>
      </c>
      <c r="D1" s="33"/>
      <c r="E1" s="19" t="s">
        <v>32</v>
      </c>
      <c r="F1">
        <v>1</v>
      </c>
      <c r="M1" s="19" t="s">
        <v>26</v>
      </c>
      <c r="O1" s="33" t="s">
        <v>31</v>
      </c>
      <c r="P1" s="33"/>
      <c r="Q1" s="19" t="s">
        <v>32</v>
      </c>
      <c r="R1">
        <v>100</v>
      </c>
      <c r="T1" s="19" t="s">
        <v>26</v>
      </c>
      <c r="V1" s="33" t="s">
        <v>31</v>
      </c>
      <c r="W1" s="33"/>
      <c r="X1" s="19" t="s">
        <v>32</v>
      </c>
      <c r="Y1">
        <v>300</v>
      </c>
    </row>
    <row r="2" spans="1:25" x14ac:dyDescent="0.25">
      <c r="A2" s="19" t="s">
        <v>5</v>
      </c>
      <c r="B2">
        <v>1.2E-2</v>
      </c>
      <c r="E2" s="19" t="s">
        <v>27</v>
      </c>
      <c r="F2">
        <v>200</v>
      </c>
      <c r="M2" s="19" t="s">
        <v>5</v>
      </c>
      <c r="N2">
        <v>1.2E-2</v>
      </c>
      <c r="O2" s="20"/>
      <c r="Q2" s="19" t="s">
        <v>27</v>
      </c>
      <c r="R2">
        <v>150</v>
      </c>
      <c r="T2" s="19" t="s">
        <v>5</v>
      </c>
      <c r="U2">
        <v>1.2E-2</v>
      </c>
      <c r="V2" s="20"/>
      <c r="X2" s="19" t="s">
        <v>27</v>
      </c>
      <c r="Y2">
        <v>200</v>
      </c>
    </row>
    <row r="3" spans="1:25" x14ac:dyDescent="0.25">
      <c r="A3" s="19" t="s">
        <v>10</v>
      </c>
      <c r="B3">
        <v>190.6</v>
      </c>
      <c r="C3" s="21" t="s">
        <v>33</v>
      </c>
      <c r="D3" s="19">
        <v>0</v>
      </c>
      <c r="E3" s="19">
        <f>D3+1</f>
        <v>1</v>
      </c>
      <c r="F3" s="19">
        <f>E3+1</f>
        <v>2</v>
      </c>
      <c r="G3" s="19">
        <v>3</v>
      </c>
      <c r="H3" s="19">
        <v>4</v>
      </c>
      <c r="I3" s="19">
        <v>5</v>
      </c>
      <c r="M3" s="19" t="s">
        <v>10</v>
      </c>
      <c r="N3">
        <v>190.6</v>
      </c>
      <c r="O3" s="22" t="s">
        <v>33</v>
      </c>
      <c r="P3" s="19">
        <v>0</v>
      </c>
      <c r="Q3" s="19"/>
      <c r="R3" s="19"/>
      <c r="S3" s="19"/>
      <c r="T3" s="19" t="s">
        <v>10</v>
      </c>
      <c r="U3">
        <v>190.6</v>
      </c>
      <c r="V3" s="22" t="s">
        <v>33</v>
      </c>
      <c r="W3" s="19">
        <v>0</v>
      </c>
      <c r="X3" s="19"/>
      <c r="Y3" s="19"/>
    </row>
    <row r="4" spans="1:25" x14ac:dyDescent="0.25">
      <c r="A4" s="19" t="s">
        <v>11</v>
      </c>
      <c r="B4">
        <v>45.99</v>
      </c>
      <c r="C4" s="21" t="s">
        <v>34</v>
      </c>
      <c r="D4">
        <v>0.05</v>
      </c>
      <c r="E4">
        <v>0.05</v>
      </c>
      <c r="F4">
        <v>0.05</v>
      </c>
      <c r="G4">
        <v>11.68733076679036</v>
      </c>
      <c r="H4">
        <v>11.68733076679036</v>
      </c>
      <c r="I4">
        <v>14.130925725252084</v>
      </c>
      <c r="M4" s="19" t="s">
        <v>11</v>
      </c>
      <c r="N4">
        <v>45.99</v>
      </c>
      <c r="O4" s="22" t="s">
        <v>34</v>
      </c>
      <c r="P4">
        <v>0.05</v>
      </c>
      <c r="T4" s="19" t="s">
        <v>11</v>
      </c>
      <c r="U4">
        <v>45.99</v>
      </c>
      <c r="V4" s="22" t="s">
        <v>34</v>
      </c>
      <c r="W4">
        <v>0.05</v>
      </c>
    </row>
    <row r="5" spans="1:25" x14ac:dyDescent="0.25">
      <c r="A5" s="19"/>
      <c r="C5" s="21" t="s">
        <v>35</v>
      </c>
      <c r="D5">
        <v>100</v>
      </c>
      <c r="E5">
        <v>47.73538392091487</v>
      </c>
      <c r="F5">
        <v>23.32466153358072</v>
      </c>
      <c r="G5">
        <v>23.32466153358072</v>
      </c>
      <c r="H5">
        <v>16.574520683713807</v>
      </c>
      <c r="I5">
        <v>16.574520683713807</v>
      </c>
      <c r="M5" s="19"/>
      <c r="O5" s="22" t="s">
        <v>35</v>
      </c>
      <c r="P5">
        <v>100</v>
      </c>
      <c r="T5" s="19"/>
      <c r="V5" s="22" t="s">
        <v>35</v>
      </c>
      <c r="W5">
        <v>100</v>
      </c>
    </row>
    <row r="6" spans="1:25" x14ac:dyDescent="0.25">
      <c r="A6" s="19" t="s">
        <v>29</v>
      </c>
      <c r="B6">
        <v>8.3140000000000006E-2</v>
      </c>
      <c r="C6" s="21" t="s">
        <v>36</v>
      </c>
      <c r="D6">
        <f t="shared" ref="D6:I6" si="0">(D4+D5)/2</f>
        <v>50.024999999999999</v>
      </c>
      <c r="E6">
        <f t="shared" si="0"/>
        <v>23.892691960457434</v>
      </c>
      <c r="F6">
        <f t="shared" si="0"/>
        <v>11.68733076679036</v>
      </c>
      <c r="G6">
        <f t="shared" si="0"/>
        <v>17.505996150185538</v>
      </c>
      <c r="H6">
        <f t="shared" si="0"/>
        <v>14.130925725252084</v>
      </c>
      <c r="I6">
        <f t="shared" si="0"/>
        <v>15.352723204482945</v>
      </c>
      <c r="M6" s="19" t="s">
        <v>29</v>
      </c>
      <c r="N6">
        <v>8.3140000000000006E-2</v>
      </c>
      <c r="O6" s="22" t="s">
        <v>36</v>
      </c>
      <c r="P6">
        <f t="shared" ref="P6" si="1">(P4+P5)/2</f>
        <v>50.024999999999999</v>
      </c>
      <c r="T6" s="19" t="s">
        <v>29</v>
      </c>
      <c r="U6">
        <v>8.3140000000000006E-2</v>
      </c>
      <c r="V6" s="22" t="s">
        <v>36</v>
      </c>
      <c r="W6">
        <f t="shared" ref="W6" si="2">(W4+W5)/2</f>
        <v>50.024999999999999</v>
      </c>
    </row>
    <row r="7" spans="1:25" x14ac:dyDescent="0.25">
      <c r="A7" s="19" t="s">
        <v>28</v>
      </c>
      <c r="B7">
        <f xml:space="preserve"> (0.427 * (B6 ^ 2) * (B3 ^ 2)) / B4</f>
        <v>2.3314725060726968</v>
      </c>
      <c r="C7" s="21" t="s">
        <v>37</v>
      </c>
      <c r="D7">
        <f t="shared" ref="D7:I7" si="3" xml:space="preserve"> D6 + (D6 - D4) * (SIGN(D8 - D9) * D10 / ((D10 ^ 2 - D8 * D9) ^ 0.5))</f>
        <v>47.73538392091487</v>
      </c>
      <c r="E7">
        <f t="shared" si="3"/>
        <v>23.32466153358072</v>
      </c>
      <c r="F7">
        <f t="shared" si="3"/>
        <v>12.241276890333666</v>
      </c>
      <c r="G7">
        <f t="shared" si="3"/>
        <v>16.574520683713807</v>
      </c>
      <c r="H7">
        <f t="shared" si="3"/>
        <v>16.519088425258712</v>
      </c>
      <c r="I7">
        <f t="shared" si="3"/>
        <v>16.520351007703844</v>
      </c>
      <c r="M7" s="19" t="s">
        <v>28</v>
      </c>
      <c r="N7">
        <f xml:space="preserve"> (0.427 * (N6 ^ 2) * (N3 ^ 2)) / N4</f>
        <v>2.3314725060726968</v>
      </c>
      <c r="O7" s="22" t="s">
        <v>37</v>
      </c>
      <c r="P7" t="e">
        <f xml:space="preserve"> P6 + (P6 - P4) * (SIGN(P8 - P9) * P10 / ((P10 ^ 2 - P8 * P9) ^ 0.5))</f>
        <v>#NUM!</v>
      </c>
      <c r="T7" s="19" t="s">
        <v>28</v>
      </c>
      <c r="U7">
        <f xml:space="preserve"> (0.427 * (U6 ^ 2) * (U3 ^ 2)) / U4</f>
        <v>2.3314725060726968</v>
      </c>
      <c r="V7" s="22" t="s">
        <v>37</v>
      </c>
      <c r="W7">
        <f xml:space="preserve"> W6 + (W6 - W4) * (SIGN(W8 - W9) * W10 / ((W10 ^ 2 - W8 * W9) ^ 0.5))</f>
        <v>-4.1208903890143702</v>
      </c>
    </row>
    <row r="8" spans="1:25" x14ac:dyDescent="0.25">
      <c r="A8" s="19" t="s">
        <v>30</v>
      </c>
      <c r="B8">
        <f xml:space="preserve"> 0.08664 * B6 * B3 / B4</f>
        <v>2.9852997907371167E-2</v>
      </c>
      <c r="C8" s="21" t="s">
        <v>38</v>
      </c>
      <c r="D8">
        <f t="shared" ref="D8:I11" si="4" xml:space="preserve"> ($B$6* $F$2 / (D4 - $B$8)) - ($B$7 * $B$10 / (D4 * (D4 + $B$8))) - $F$1</f>
        <v>254.63539950668655</v>
      </c>
      <c r="E8">
        <f t="shared" si="4"/>
        <v>254.63539950668655</v>
      </c>
      <c r="F8">
        <f t="shared" si="4"/>
        <v>254.63539950668655</v>
      </c>
      <c r="G8">
        <f t="shared" si="4"/>
        <v>0.40977066675477758</v>
      </c>
      <c r="H8">
        <f t="shared" si="4"/>
        <v>0.40977066675477758</v>
      </c>
      <c r="I8">
        <f t="shared" si="4"/>
        <v>0.16783399979160674</v>
      </c>
      <c r="M8" s="19" t="s">
        <v>30</v>
      </c>
      <c r="N8">
        <f xml:space="preserve"> 0.08664 * N6 * N3 / N4</f>
        <v>2.9852997907371167E-2</v>
      </c>
      <c r="O8" s="22" t="s">
        <v>38</v>
      </c>
      <c r="P8">
        <f xml:space="preserve"> ($B$6* $R$2 / (P4 - $B$8)) - ($B$7 * $N$10 / (P4 * (P4 + $B$8))) - $R$1</f>
        <v>-133.22629987547953</v>
      </c>
      <c r="T8" s="19" t="s">
        <v>30</v>
      </c>
      <c r="U8">
        <f xml:space="preserve"> 0.08664 * U6 * U3 / U4</f>
        <v>2.9852997907371167E-2</v>
      </c>
      <c r="V8" s="22" t="s">
        <v>38</v>
      </c>
      <c r="W8">
        <f xml:space="preserve"> ($B$6* $Y$2 / (W4 - $B$8)) - ($B$7 * $U$10 / (W4 * (W4 + $B$8))) - $Y$1</f>
        <v>-44.364600493313446</v>
      </c>
    </row>
    <row r="9" spans="1:25" x14ac:dyDescent="0.25">
      <c r="A9" s="19" t="s">
        <v>42</v>
      </c>
      <c r="B9">
        <f>F2/B3</f>
        <v>1.0493179433368311</v>
      </c>
      <c r="C9" s="21" t="s">
        <v>39</v>
      </c>
      <c r="D9">
        <f t="shared" si="4"/>
        <v>-0.83389773831854153</v>
      </c>
      <c r="E9">
        <f t="shared" si="4"/>
        <v>-0.65244262184583901</v>
      </c>
      <c r="F9">
        <f t="shared" si="4"/>
        <v>-0.29036849860372538</v>
      </c>
      <c r="G9">
        <f t="shared" si="4"/>
        <v>-0.29036849860372538</v>
      </c>
      <c r="H9">
        <f t="shared" si="4"/>
        <v>-3.2281887381629959E-3</v>
      </c>
      <c r="I9">
        <f t="shared" si="4"/>
        <v>-3.2281887381629959E-3</v>
      </c>
      <c r="M9" s="19" t="s">
        <v>42</v>
      </c>
      <c r="N9">
        <f>R2/N3</f>
        <v>0.78698845750262336</v>
      </c>
      <c r="O9" s="22" t="s">
        <v>39</v>
      </c>
      <c r="P9">
        <f t="shared" ref="P9:P10" si="5" xml:space="preserve"> ($B$6* $R$2 / (P5 - $B$8)) - ($B$7 * $N$10 / (P5 * (P5 + $B$8))) - $R$1</f>
        <v>-99.87551309273131</v>
      </c>
      <c r="T9" s="19" t="s">
        <v>42</v>
      </c>
      <c r="U9">
        <f>Y2/U3</f>
        <v>1.0493179433368311</v>
      </c>
      <c r="V9" s="22" t="s">
        <v>39</v>
      </c>
      <c r="W9">
        <f t="shared" ref="W9:W11" si="6" xml:space="preserve"> ($B$6* $Y$2 / (W5 - $B$8)) - ($B$7 * $U$10 / (W5 * (W5 + $B$8))) - $Y$1</f>
        <v>-299.83389773831857</v>
      </c>
    </row>
    <row r="10" spans="1:25" x14ac:dyDescent="0.25">
      <c r="A10" s="19" t="s">
        <v>43</v>
      </c>
      <c r="B10">
        <f>(1 + (0.48508 + 1.55171 * B2 - 0.15613 * (B2 ^ 2)) * (1 - (B9 ^ 0.5))) ^ 2</f>
        <v>0.97560914715006264</v>
      </c>
      <c r="C10" s="21" t="s">
        <v>44</v>
      </c>
      <c r="D10">
        <f t="shared" si="4"/>
        <v>-0.66831610971504463</v>
      </c>
      <c r="E10">
        <f t="shared" si="4"/>
        <v>-0.30716388257255145</v>
      </c>
      <c r="F10">
        <f t="shared" si="4"/>
        <v>0.40977066675477758</v>
      </c>
      <c r="G10">
        <f t="shared" si="4"/>
        <v>-5.5941045390392685E-2</v>
      </c>
      <c r="H10">
        <f t="shared" si="4"/>
        <v>0.16783399979160674</v>
      </c>
      <c r="I10">
        <f t="shared" si="4"/>
        <v>7.5543832336362193E-2</v>
      </c>
      <c r="M10" s="19" t="s">
        <v>43</v>
      </c>
      <c r="N10">
        <f>(1 + (0.48508 + 1.55171 * N2 - 0.15613 * (N2 ^ 2)) * (1 - (N9 ^ 0.5))) ^ 2</f>
        <v>1.116938926664669</v>
      </c>
      <c r="O10" s="22" t="s">
        <v>44</v>
      </c>
      <c r="P10">
        <f t="shared" si="5"/>
        <v>-99.751595772428288</v>
      </c>
      <c r="T10" s="19" t="s">
        <v>43</v>
      </c>
      <c r="U10">
        <f>(1 + (0.48508 + 1.55171 * U2 - 0.15613 * (U2 ^ 2)) * (1 - (U9 ^ 0.5))) ^ 2</f>
        <v>0.97560914715006264</v>
      </c>
      <c r="V10" s="22" t="s">
        <v>44</v>
      </c>
      <c r="W10">
        <f t="shared" si="6"/>
        <v>-299.66831610971502</v>
      </c>
    </row>
    <row r="11" spans="1:25" x14ac:dyDescent="0.25">
      <c r="A11" s="19" t="s">
        <v>48</v>
      </c>
      <c r="B11">
        <v>1E-4</v>
      </c>
      <c r="C11" s="21" t="s">
        <v>40</v>
      </c>
      <c r="D11">
        <f t="shared" si="4"/>
        <v>-0.65244262184583901</v>
      </c>
      <c r="E11">
        <f t="shared" si="4"/>
        <v>-0.29036849860372538</v>
      </c>
      <c r="F11">
        <f t="shared" si="4"/>
        <v>0.34653336138557567</v>
      </c>
      <c r="G11">
        <f t="shared" si="4"/>
        <v>-3.2281887381629959E-3</v>
      </c>
      <c r="H11">
        <f t="shared" si="4"/>
        <v>9.4955898521487114E-5</v>
      </c>
      <c r="I11">
        <f t="shared" si="4"/>
        <v>1.9017943924115599E-5</v>
      </c>
      <c r="M11" s="19" t="s">
        <v>48</v>
      </c>
      <c r="N11">
        <v>1E-4</v>
      </c>
      <c r="O11" s="22" t="s">
        <v>40</v>
      </c>
      <c r="P11" t="e">
        <f t="shared" ref="P11" si="7" xml:space="preserve"> ($B$6* $R$2 / (P7 - $B$8)) - ($B$7 * $B$10 / (P7 * (P7 + $B$8))) - $R$1</f>
        <v>#NUM!</v>
      </c>
      <c r="T11" s="19" t="s">
        <v>48</v>
      </c>
      <c r="U11">
        <v>1E-4</v>
      </c>
      <c r="V11" s="22" t="s">
        <v>40</v>
      </c>
      <c r="W11">
        <f t="shared" si="6"/>
        <v>-304.14095104239959</v>
      </c>
    </row>
    <row r="12" spans="1:25" x14ac:dyDescent="0.25">
      <c r="C12" s="21" t="s">
        <v>41</v>
      </c>
      <c r="D12">
        <v>1</v>
      </c>
      <c r="E12">
        <f>ABS((E7-D7)/E7)</f>
        <v>1.0465627701473748</v>
      </c>
      <c r="F12">
        <f>ABS((F7-E7)/F7)</f>
        <v>0.90541082785236715</v>
      </c>
      <c r="G12">
        <f>ABS((G7-F7)/G7)</f>
        <v>0.2614400667186717</v>
      </c>
      <c r="H12">
        <f>ABS((H7-G7)/H7)</f>
        <v>3.3556487518001227E-3</v>
      </c>
      <c r="I12">
        <f>ABS((I7-H7)/I7)</f>
        <v>7.6425884930888686E-5</v>
      </c>
      <c r="O12" s="22" t="s">
        <v>41</v>
      </c>
      <c r="P12">
        <v>1</v>
      </c>
      <c r="V12" s="22" t="s">
        <v>41</v>
      </c>
      <c r="W12">
        <v>1</v>
      </c>
    </row>
    <row r="13" spans="1:25" x14ac:dyDescent="0.25">
      <c r="C13" s="21" t="s">
        <v>47</v>
      </c>
      <c r="D13">
        <f t="shared" ref="D13:I13" si="8">SIGN(D8*D11)</f>
        <v>-1</v>
      </c>
      <c r="E13">
        <f t="shared" si="8"/>
        <v>-1</v>
      </c>
      <c r="F13">
        <f t="shared" si="8"/>
        <v>1</v>
      </c>
      <c r="G13">
        <f t="shared" si="8"/>
        <v>-1</v>
      </c>
      <c r="H13">
        <f t="shared" si="8"/>
        <v>1</v>
      </c>
      <c r="I13">
        <f t="shared" si="8"/>
        <v>1</v>
      </c>
      <c r="O13" s="22" t="s">
        <v>47</v>
      </c>
      <c r="P13" t="e">
        <f t="shared" ref="P13" si="9">SIGN(P8*P11)</f>
        <v>#NUM!</v>
      </c>
      <c r="V13" s="22" t="s">
        <v>47</v>
      </c>
      <c r="W13">
        <f t="shared" ref="W13" si="10">SIGN(W8*W11)</f>
        <v>1</v>
      </c>
    </row>
    <row r="14" spans="1:25" x14ac:dyDescent="0.25">
      <c r="C14" s="21" t="s">
        <v>45</v>
      </c>
      <c r="D14">
        <f t="shared" ref="D14:I14" si="11">SIGN(D11*D10)</f>
        <v>1</v>
      </c>
      <c r="E14">
        <f t="shared" si="11"/>
        <v>1</v>
      </c>
      <c r="F14">
        <f t="shared" si="11"/>
        <v>1</v>
      </c>
      <c r="G14">
        <f t="shared" si="11"/>
        <v>1</v>
      </c>
      <c r="H14">
        <f t="shared" si="11"/>
        <v>1</v>
      </c>
      <c r="I14">
        <f t="shared" si="11"/>
        <v>1</v>
      </c>
      <c r="O14" s="22" t="s">
        <v>45</v>
      </c>
      <c r="P14" t="e">
        <f t="shared" ref="P14" si="12">SIGN(P11*P10)</f>
        <v>#NUM!</v>
      </c>
      <c r="V14" s="22" t="s">
        <v>45</v>
      </c>
      <c r="W14">
        <f t="shared" ref="W14" si="13">SIGN(W11*W10)</f>
        <v>1</v>
      </c>
    </row>
    <row r="15" spans="1:25" x14ac:dyDescent="0.25">
      <c r="C15" s="21" t="s">
        <v>46</v>
      </c>
      <c r="D15">
        <f t="shared" ref="D15:I15" si="14">SIGN(D10*D9)</f>
        <v>1</v>
      </c>
      <c r="E15">
        <f t="shared" si="14"/>
        <v>1</v>
      </c>
      <c r="F15">
        <f t="shared" si="14"/>
        <v>-1</v>
      </c>
      <c r="G15">
        <f t="shared" si="14"/>
        <v>1</v>
      </c>
      <c r="H15">
        <f t="shared" si="14"/>
        <v>-1</v>
      </c>
      <c r="I15">
        <f t="shared" si="14"/>
        <v>-1</v>
      </c>
      <c r="O15" s="22" t="s">
        <v>46</v>
      </c>
      <c r="P15">
        <f t="shared" ref="P15" si="15">SIGN(P10*P9)</f>
        <v>1</v>
      </c>
      <c r="V15" s="22" t="s">
        <v>46</v>
      </c>
      <c r="W15">
        <f t="shared" ref="W15" si="16">SIGN(W10*W9)</f>
        <v>1</v>
      </c>
    </row>
    <row r="17" spans="1:31" x14ac:dyDescent="0.25">
      <c r="A17" s="19" t="s">
        <v>26</v>
      </c>
      <c r="C17" s="33" t="s">
        <v>31</v>
      </c>
      <c r="D17" s="33"/>
      <c r="E17" s="19" t="s">
        <v>32</v>
      </c>
      <c r="F17">
        <v>5</v>
      </c>
    </row>
    <row r="18" spans="1:31" x14ac:dyDescent="0.25">
      <c r="A18" s="19" t="s">
        <v>5</v>
      </c>
      <c r="B18">
        <v>1.2E-2</v>
      </c>
      <c r="E18" s="19" t="s">
        <v>27</v>
      </c>
      <c r="F18">
        <v>700</v>
      </c>
      <c r="M18" s="19" t="s">
        <v>26</v>
      </c>
      <c r="O18" s="33" t="s">
        <v>31</v>
      </c>
      <c r="P18" s="33"/>
      <c r="Q18" s="19" t="s">
        <v>32</v>
      </c>
      <c r="R18">
        <v>300</v>
      </c>
    </row>
    <row r="19" spans="1:31" x14ac:dyDescent="0.25">
      <c r="A19" s="19" t="s">
        <v>10</v>
      </c>
      <c r="B19">
        <v>190.6</v>
      </c>
      <c r="C19" s="21" t="s">
        <v>33</v>
      </c>
      <c r="D19" s="19">
        <v>0</v>
      </c>
      <c r="E19" s="19">
        <f>D19+1</f>
        <v>1</v>
      </c>
      <c r="F19" s="19">
        <f>E19+1</f>
        <v>2</v>
      </c>
      <c r="G19" s="19">
        <v>3</v>
      </c>
      <c r="H19" s="19">
        <v>4</v>
      </c>
      <c r="I19" s="19">
        <v>5</v>
      </c>
      <c r="J19" s="19">
        <v>6</v>
      </c>
      <c r="K19" s="19">
        <v>7</v>
      </c>
      <c r="M19" s="19" t="s">
        <v>5</v>
      </c>
      <c r="N19">
        <v>1.2E-2</v>
      </c>
      <c r="O19" s="20"/>
      <c r="Q19" s="19" t="s">
        <v>27</v>
      </c>
      <c r="R19">
        <v>300</v>
      </c>
    </row>
    <row r="20" spans="1:31" x14ac:dyDescent="0.25">
      <c r="A20" s="19" t="s">
        <v>11</v>
      </c>
      <c r="B20">
        <v>45.99</v>
      </c>
      <c r="C20" s="21" t="s">
        <v>34</v>
      </c>
      <c r="D20">
        <v>0.05</v>
      </c>
      <c r="E20">
        <v>0.05</v>
      </c>
      <c r="F20">
        <v>0.05</v>
      </c>
      <c r="G20">
        <v>0.05</v>
      </c>
      <c r="H20">
        <v>5.9201545992952891</v>
      </c>
      <c r="I20">
        <v>8.8552318989429324</v>
      </c>
      <c r="J20">
        <v>10.322770548766755</v>
      </c>
      <c r="K20">
        <v>11.056539873678666</v>
      </c>
      <c r="M20" s="19" t="s">
        <v>10</v>
      </c>
      <c r="N20">
        <v>190.6</v>
      </c>
      <c r="O20" s="22" t="s">
        <v>33</v>
      </c>
      <c r="P20" s="19">
        <v>0</v>
      </c>
      <c r="Q20" s="19">
        <v>1</v>
      </c>
      <c r="R20" s="19">
        <v>2</v>
      </c>
      <c r="S20" s="19">
        <v>3</v>
      </c>
      <c r="T20" s="19">
        <v>4</v>
      </c>
      <c r="U20" s="19">
        <v>5</v>
      </c>
      <c r="V20" s="19">
        <v>6</v>
      </c>
      <c r="W20" s="19">
        <v>7</v>
      </c>
      <c r="X20" s="19">
        <v>8</v>
      </c>
      <c r="Y20" s="19">
        <v>9</v>
      </c>
      <c r="Z20" s="19">
        <v>10</v>
      </c>
      <c r="AA20" s="19">
        <v>11</v>
      </c>
      <c r="AB20" s="19">
        <v>12</v>
      </c>
      <c r="AC20" s="19">
        <v>13</v>
      </c>
      <c r="AD20" s="19">
        <v>14</v>
      </c>
      <c r="AE20" s="19">
        <v>15</v>
      </c>
    </row>
    <row r="21" spans="1:31" x14ac:dyDescent="0.25">
      <c r="A21" s="19"/>
      <c r="C21" s="21" t="s">
        <v>35</v>
      </c>
      <c r="D21">
        <v>100</v>
      </c>
      <c r="E21">
        <v>48.275381763083494</v>
      </c>
      <c r="F21">
        <v>23.547583887247647</v>
      </c>
      <c r="G21">
        <v>11.790309198590577</v>
      </c>
      <c r="H21">
        <v>11.790309198590577</v>
      </c>
      <c r="I21">
        <v>11.790309198590577</v>
      </c>
      <c r="J21">
        <v>11.790309198590577</v>
      </c>
      <c r="K21">
        <v>11.790309198590577</v>
      </c>
      <c r="M21" s="19" t="s">
        <v>11</v>
      </c>
      <c r="N21">
        <v>45.99</v>
      </c>
      <c r="O21" s="22" t="s">
        <v>34</v>
      </c>
      <c r="P21">
        <v>0.05</v>
      </c>
      <c r="Q21">
        <v>0.05</v>
      </c>
      <c r="R21">
        <v>0.05</v>
      </c>
      <c r="S21">
        <v>0.05</v>
      </c>
      <c r="T21">
        <v>0.05</v>
      </c>
      <c r="U21">
        <v>0.05</v>
      </c>
      <c r="V21">
        <v>0.05</v>
      </c>
      <c r="W21">
        <v>0.05</v>
      </c>
      <c r="X21">
        <v>0.05</v>
      </c>
      <c r="Y21">
        <v>0.05</v>
      </c>
      <c r="Z21">
        <v>0.05</v>
      </c>
      <c r="AA21">
        <v>0.05</v>
      </c>
      <c r="AB21">
        <v>0.05</v>
      </c>
      <c r="AC21">
        <v>0.05</v>
      </c>
      <c r="AD21">
        <v>0.05</v>
      </c>
      <c r="AE21">
        <v>0.05</v>
      </c>
    </row>
    <row r="22" spans="1:31" x14ac:dyDescent="0.25">
      <c r="A22" s="19" t="s">
        <v>29</v>
      </c>
      <c r="B22">
        <v>8.3140000000000006E-2</v>
      </c>
      <c r="C22" s="21" t="s">
        <v>36</v>
      </c>
      <c r="D22">
        <f>(D20+D21)/2</f>
        <v>50.024999999999999</v>
      </c>
      <c r="E22">
        <f t="shared" ref="E22:K22" si="17">(E20+E21)/2</f>
        <v>24.162690881541746</v>
      </c>
      <c r="F22">
        <f t="shared" si="17"/>
        <v>11.798791943623824</v>
      </c>
      <c r="G22">
        <f t="shared" si="17"/>
        <v>5.9201545992952891</v>
      </c>
      <c r="H22">
        <f t="shared" si="17"/>
        <v>8.8552318989429324</v>
      </c>
      <c r="I22">
        <f t="shared" si="17"/>
        <v>10.322770548766755</v>
      </c>
      <c r="J22">
        <f t="shared" si="17"/>
        <v>11.056539873678666</v>
      </c>
      <c r="K22">
        <f t="shared" si="17"/>
        <v>11.423424536134622</v>
      </c>
      <c r="M22" s="19"/>
      <c r="O22" s="22" t="s">
        <v>35</v>
      </c>
      <c r="P22">
        <v>100</v>
      </c>
      <c r="Q22">
        <v>29.555474253329454</v>
      </c>
      <c r="R22">
        <v>8.7822101501825074</v>
      </c>
      <c r="S22">
        <v>2.6555590297309934</v>
      </c>
      <c r="T22">
        <v>0.84590150010214415</v>
      </c>
      <c r="U22">
        <v>0.30402991876960628</v>
      </c>
      <c r="V22">
        <v>0.13016567382696148</v>
      </c>
      <c r="W22">
        <v>7.2008578863751976E-2</v>
      </c>
      <c r="X22">
        <v>5.6380372152015606E-2</v>
      </c>
      <c r="Y22">
        <v>5.2092050598126535E-2</v>
      </c>
      <c r="Z22">
        <v>5.0717879155867278E-2</v>
      </c>
      <c r="AA22">
        <v>5.0248940541791937E-2</v>
      </c>
      <c r="AB22">
        <v>5.0086479349112041E-2</v>
      </c>
      <c r="AC22">
        <v>5.0030049486181137E-2</v>
      </c>
      <c r="AD22">
        <v>5.0010441801968605E-2</v>
      </c>
      <c r="AE22">
        <v>5.0003628403272E-2</v>
      </c>
    </row>
    <row r="23" spans="1:31" x14ac:dyDescent="0.25">
      <c r="A23" s="19" t="s">
        <v>28</v>
      </c>
      <c r="B23">
        <f xml:space="preserve"> (0.427 * (B22 ^ 2) * (B19 ^ 2)) / B20</f>
        <v>2.3314725060726968</v>
      </c>
      <c r="C23" s="21" t="s">
        <v>37</v>
      </c>
      <c r="D23">
        <f xml:space="preserve"> D22 + (D22 - D20) * (SIGN(D24 - D25) * D26 / ((D26 ^ 2 - D24 * D25) ^ 0.5))</f>
        <v>48.275381763083494</v>
      </c>
      <c r="E23">
        <f t="shared" ref="E23:K23" si="18" xml:space="preserve"> E22 + (E22 - E20) * (SIGN(E24 - E25) * E26 / ((E26 ^ 2 - E24 * E25) ^ 0.5))</f>
        <v>23.547583887247647</v>
      </c>
      <c r="F23">
        <f t="shared" si="18"/>
        <v>11.790309198590577</v>
      </c>
      <c r="G23">
        <f t="shared" si="18"/>
        <v>8.0694739827958628</v>
      </c>
      <c r="H23">
        <f t="shared" si="18"/>
        <v>11.642718007422086</v>
      </c>
      <c r="I23">
        <f t="shared" si="18"/>
        <v>11.655541750337338</v>
      </c>
      <c r="J23">
        <f t="shared" si="18"/>
        <v>11.657478965877813</v>
      </c>
      <c r="K23">
        <f t="shared" si="18"/>
        <v>11.657844859470014</v>
      </c>
      <c r="M23" s="19" t="s">
        <v>29</v>
      </c>
      <c r="N23">
        <v>8.3140000000000006E-2</v>
      </c>
      <c r="O23" s="22" t="s">
        <v>36</v>
      </c>
      <c r="P23">
        <f t="shared" ref="P23:AE23" si="19">(P21+P22)/2</f>
        <v>50.024999999999999</v>
      </c>
      <c r="Q23">
        <f t="shared" si="19"/>
        <v>14.802737126664727</v>
      </c>
      <c r="R23">
        <f t="shared" si="19"/>
        <v>4.4161050750912541</v>
      </c>
      <c r="S23">
        <f t="shared" si="19"/>
        <v>1.3527795148654966</v>
      </c>
      <c r="T23">
        <f t="shared" si="19"/>
        <v>0.4479507500510721</v>
      </c>
      <c r="U23">
        <f t="shared" si="19"/>
        <v>0.17701495938480313</v>
      </c>
      <c r="V23">
        <f t="shared" si="19"/>
        <v>9.0082836913480735E-2</v>
      </c>
      <c r="W23">
        <f t="shared" si="19"/>
        <v>6.100428943187599E-2</v>
      </c>
      <c r="X23">
        <f t="shared" si="19"/>
        <v>5.3190186076007805E-2</v>
      </c>
      <c r="Y23">
        <f t="shared" si="19"/>
        <v>5.1046025299063269E-2</v>
      </c>
      <c r="Z23">
        <f t="shared" si="19"/>
        <v>5.0358939577933637E-2</v>
      </c>
      <c r="AA23">
        <f t="shared" si="19"/>
        <v>5.012447027089597E-2</v>
      </c>
      <c r="AB23">
        <f t="shared" si="19"/>
        <v>5.0043239674556025E-2</v>
      </c>
      <c r="AC23">
        <f t="shared" si="19"/>
        <v>5.0015024743090566E-2</v>
      </c>
      <c r="AD23">
        <f t="shared" si="19"/>
        <v>5.0005220900984304E-2</v>
      </c>
      <c r="AE23">
        <f t="shared" si="19"/>
        <v>5.0001814201636005E-2</v>
      </c>
    </row>
    <row r="24" spans="1:31" x14ac:dyDescent="0.25">
      <c r="A24" s="19" t="s">
        <v>30</v>
      </c>
      <c r="B24">
        <f xml:space="preserve"> 0.08664 * B22 * B19 / B20</f>
        <v>2.9852997907371167E-2</v>
      </c>
      <c r="C24" s="21" t="s">
        <v>38</v>
      </c>
      <c r="D24">
        <f xml:space="preserve"> ($B$6* $F$18 / (D20 - $B$8)) - ($B$7 * $B$26 / (D20 * (D20 + $B$8))) - $F$17</f>
        <v>2714.3817628254806</v>
      </c>
      <c r="E24">
        <f t="shared" ref="E24:K24" si="20" xml:space="preserve"> ($B$6* $F$18 / (E20 - $B$8)) - ($B$7 * $B$26 / (E20 * (E20 + $B$8))) - $F$17</f>
        <v>2714.3817628254806</v>
      </c>
      <c r="F24">
        <f t="shared" ref="F24:H24" si="21" xml:space="preserve"> ($B$6* $F$18 / (F20 - $B$8)) - ($B$7 * $B$26 / (F20 * (F20 + $B$8))) - $F$17</f>
        <v>2714.3817628254806</v>
      </c>
      <c r="G24">
        <f t="shared" si="21"/>
        <v>2714.3817628254806</v>
      </c>
      <c r="H24">
        <f t="shared" si="21"/>
        <v>4.8611208990790296</v>
      </c>
      <c r="I24">
        <f t="shared" si="20"/>
        <v>1.5858005339101551</v>
      </c>
      <c r="J24">
        <f t="shared" si="20"/>
        <v>0.64785452356708273</v>
      </c>
      <c r="K24">
        <f t="shared" si="20"/>
        <v>0.27240852862182763</v>
      </c>
      <c r="M24" s="19" t="s">
        <v>28</v>
      </c>
      <c r="N24">
        <f xml:space="preserve"> (0.427 * (N23 ^ 2) * (N20 ^ 2)) / N21</f>
        <v>2.3314725060726968</v>
      </c>
      <c r="O24" s="22" t="s">
        <v>37</v>
      </c>
      <c r="P24">
        <f t="shared" ref="P24:AE24" si="22" xml:space="preserve"> P23 + (P23 - P21) * (SIGN(P25 - P26) * P27 / ((P27 ^ 2 - P25 * P26) ^ 0.5))</f>
        <v>29.555474253329454</v>
      </c>
      <c r="Q24">
        <f t="shared" si="22"/>
        <v>8.7822101501825074</v>
      </c>
      <c r="R24">
        <f t="shared" si="22"/>
        <v>2.6555590297309934</v>
      </c>
      <c r="S24">
        <f t="shared" si="22"/>
        <v>0.84590150010214415</v>
      </c>
      <c r="T24">
        <f t="shared" si="22"/>
        <v>0.30402991876960628</v>
      </c>
      <c r="U24">
        <f t="shared" si="22"/>
        <v>0.13016567382696148</v>
      </c>
      <c r="V24">
        <f t="shared" si="22"/>
        <v>7.2008578863751976E-2</v>
      </c>
      <c r="W24">
        <f t="shared" si="22"/>
        <v>5.6380372152015606E-2</v>
      </c>
      <c r="X24">
        <f t="shared" si="22"/>
        <v>5.2092050598126535E-2</v>
      </c>
      <c r="Y24">
        <f t="shared" si="22"/>
        <v>5.0717879155867278E-2</v>
      </c>
      <c r="Z24">
        <f t="shared" si="22"/>
        <v>5.0248940541791937E-2</v>
      </c>
      <c r="AA24">
        <f t="shared" si="22"/>
        <v>5.0086479349112041E-2</v>
      </c>
      <c r="AB24">
        <f t="shared" si="22"/>
        <v>5.0030049486181137E-2</v>
      </c>
      <c r="AC24">
        <f t="shared" si="22"/>
        <v>5.0010441801968605E-2</v>
      </c>
      <c r="AD24">
        <f t="shared" si="22"/>
        <v>5.0003628403272E-2</v>
      </c>
      <c r="AE24">
        <f t="shared" si="22"/>
        <v>5.0001260828025008E-2</v>
      </c>
    </row>
    <row r="25" spans="1:31" x14ac:dyDescent="0.25">
      <c r="A25" s="19" t="s">
        <v>42</v>
      </c>
      <c r="B25">
        <f>F18/B19</f>
        <v>3.672612801678909</v>
      </c>
      <c r="C25" s="21" t="s">
        <v>39</v>
      </c>
      <c r="D25">
        <f t="shared" ref="D25:D27" si="23" xml:space="preserve"> ($B$6* $F$18 / (D21 - $B$8)) - ($B$7 * $B$26 / (D21 * (D21 + $B$8))) - $F$17</f>
        <v>-4.4179137795324479</v>
      </c>
      <c r="E25">
        <f t="shared" ref="E25:K25" si="24" xml:space="preserve"> ($B$6* $F$18 / (E21 - $B$8)) - ($B$7 * $B$26 / (E21 * (E21 + $B$8))) - $F$17</f>
        <v>-3.7940018928900745</v>
      </c>
      <c r="F25">
        <f t="shared" ref="F25:H25" si="25" xml:space="preserve"> ($B$6* $F$18 / (F21 - $B$8)) - ($B$7 * $B$26 / (F21 * (F21 + $B$8))) - $F$17</f>
        <v>-2.5265739134282086</v>
      </c>
      <c r="G25">
        <f t="shared" si="25"/>
        <v>-5.6232361848874035E-2</v>
      </c>
      <c r="H25">
        <f t="shared" si="25"/>
        <v>-5.6232361848874035E-2</v>
      </c>
      <c r="I25">
        <f t="shared" si="24"/>
        <v>-5.6232361848874035E-2</v>
      </c>
      <c r="J25">
        <f t="shared" si="24"/>
        <v>-5.6232361848874035E-2</v>
      </c>
      <c r="K25">
        <f t="shared" si="24"/>
        <v>-5.6232361848874035E-2</v>
      </c>
      <c r="M25" s="19" t="s">
        <v>30</v>
      </c>
      <c r="N25">
        <f xml:space="preserve"> 0.08664 * N23 * N20 / N21</f>
        <v>2.9852997907371167E-2</v>
      </c>
      <c r="O25" s="22" t="s">
        <v>38</v>
      </c>
      <c r="P25">
        <f t="shared" ref="P25:AE25" si="26" xml:space="preserve"> ($B$6* $R$19 / (P21 - $B$8)) - ($B$7 * $N$27 / (P21 * (P21 + $B$8))) - $R$18</f>
        <v>494.21277328303381</v>
      </c>
      <c r="Q25">
        <f t="shared" si="26"/>
        <v>494.21277328303381</v>
      </c>
      <c r="R25">
        <f t="shared" si="26"/>
        <v>494.21277328303381</v>
      </c>
      <c r="S25">
        <f t="shared" si="26"/>
        <v>494.21277328303381</v>
      </c>
      <c r="T25">
        <f t="shared" si="26"/>
        <v>494.21277328303381</v>
      </c>
      <c r="U25">
        <f t="shared" si="26"/>
        <v>494.21277328303381</v>
      </c>
      <c r="V25">
        <f t="shared" si="26"/>
        <v>494.21277328303381</v>
      </c>
      <c r="W25">
        <f t="shared" si="26"/>
        <v>494.21277328303381</v>
      </c>
      <c r="X25">
        <f t="shared" si="26"/>
        <v>494.21277328303381</v>
      </c>
      <c r="Y25">
        <f t="shared" si="26"/>
        <v>494.21277328303381</v>
      </c>
      <c r="Z25">
        <f t="shared" si="26"/>
        <v>494.21277328303381</v>
      </c>
      <c r="AA25">
        <f t="shared" si="26"/>
        <v>494.21277328303381</v>
      </c>
      <c r="AB25">
        <f t="shared" si="26"/>
        <v>494.21277328303381</v>
      </c>
      <c r="AC25">
        <f t="shared" si="26"/>
        <v>494.21277328303381</v>
      </c>
      <c r="AD25">
        <f t="shared" si="26"/>
        <v>494.21277328303381</v>
      </c>
      <c r="AE25">
        <f t="shared" si="26"/>
        <v>494.21277328303381</v>
      </c>
    </row>
    <row r="26" spans="1:31" x14ac:dyDescent="0.25">
      <c r="A26" s="19" t="s">
        <v>43</v>
      </c>
      <c r="B26">
        <f>(1 + (0.48508 + 1.55171 * B18 - 0.15613 * (B18 ^ 2)) * (1 - (B25 ^ 0.5))) ^ 2</f>
        <v>0.28990289511849199</v>
      </c>
      <c r="C26" s="21" t="s">
        <v>44</v>
      </c>
      <c r="D26">
        <f t="shared" si="23"/>
        <v>-3.8361969441356885</v>
      </c>
      <c r="E26">
        <f t="shared" ref="E26:K26" si="27" xml:space="preserve"> ($B$6* $F$18 / (E22 - $B$8)) - ($B$7 * $B$26 / (E22 * (E22 + $B$8))) - $F$17</f>
        <v>-2.5895874156056498</v>
      </c>
      <c r="F26">
        <f t="shared" ref="F26:H26" si="28" xml:space="preserve"> ($B$6* $F$18 / (F22 - $B$8)) - ($B$7 * $B$26 / (F22 * (F22 + $B$8))) - $F$17</f>
        <v>-5.9792234251312415E-2</v>
      </c>
      <c r="G26">
        <f t="shared" si="28"/>
        <v>4.8611208990790296</v>
      </c>
      <c r="H26">
        <f t="shared" si="28"/>
        <v>1.5858005339101551</v>
      </c>
      <c r="I26">
        <f t="shared" si="27"/>
        <v>0.64785452356708273</v>
      </c>
      <c r="J26">
        <f t="shared" si="27"/>
        <v>0.27240852862182763</v>
      </c>
      <c r="K26">
        <f t="shared" si="27"/>
        <v>0.10280207538375841</v>
      </c>
      <c r="M26" s="19" t="s">
        <v>42</v>
      </c>
      <c r="N26">
        <f>R19/N20</f>
        <v>1.5739769150052467</v>
      </c>
      <c r="O26" s="22" t="s">
        <v>39</v>
      </c>
      <c r="P26">
        <f t="shared" ref="P26:P28" si="29" xml:space="preserve"> ($B$6* $R$2 / (P22 - $B$8)) - ($B$7 * $B$10 / (P22 * (P22 + $B$8))) - $R$1</f>
        <v>-99.875480151915596</v>
      </c>
      <c r="Q26">
        <f t="shared" ref="Q26:R26" si="30" xml:space="preserve"> ($B$6* $R$2 / (Q22 - $B$8)) - ($B$7 * $B$10 / (Q22 * (Q22 + $B$8))) - $R$1</f>
        <v>-99.580222389067586</v>
      </c>
      <c r="R26">
        <f t="shared" si="30"/>
        <v>-98.604518404121023</v>
      </c>
      <c r="S26">
        <f t="shared" ref="S26:T26" si="31" xml:space="preserve"> ($B$6* $R$2 / (S22 - $B$8)) - ($B$7 * $B$10 / (S22 * (S22 + $B$8))) - $R$1</f>
        <v>-95.569382565406727</v>
      </c>
      <c r="T26">
        <f t="shared" si="31"/>
        <v>-87.788283983003581</v>
      </c>
      <c r="U26">
        <f t="shared" ref="U26:V26" si="32" xml:space="preserve"> ($B$6* $R$2 / (U22 - $B$8)) - ($B$7 * $B$10 / (U22 * (U22 + $B$8))) - $R$1</f>
        <v>-76.922386415793085</v>
      </c>
      <c r="V26">
        <f t="shared" si="32"/>
        <v>-84.882844290097751</v>
      </c>
      <c r="W26">
        <f t="shared" ref="W26:X26" si="33" xml:space="preserve"> ($B$6* $R$2 / (W22 - $B$8)) - ($B$7 * $B$10 / (W22 * (W22 + $B$8))) - $R$1</f>
        <v>-114.27425409302754</v>
      </c>
      <c r="X26">
        <f t="shared" si="33"/>
        <v>-97.72779368317174</v>
      </c>
      <c r="Y26">
        <f t="shared" ref="Y26:Z26" si="34" xml:space="preserve"> ($B$6* $R$2 / (Y22 - $B$8)) - ($B$7 * $B$10 / (Y22 * (Y22 + $B$8))) - $R$1</f>
        <v>-72.088326115327504</v>
      </c>
      <c r="Z26">
        <f t="shared" si="34"/>
        <v>-58.927584471069963</v>
      </c>
      <c r="AA26">
        <f t="shared" ref="AA26:AB26" si="35" xml:space="preserve"> ($B$6* $R$2 / (AA22 - $B$8)) - ($B$7 * $B$10 / (AA22 * (AA22 + $B$8))) - $R$1</f>
        <v>-53.669068052174111</v>
      </c>
      <c r="AB26">
        <f t="shared" si="35"/>
        <v>-51.744796891204601</v>
      </c>
      <c r="AC26">
        <f t="shared" ref="AC26:AD26" si="36" xml:space="preserve"> ($B$6* $R$2 / (AC22 - $B$8)) - ($B$7 * $B$10 / (AC22 * (AC22 + $B$8))) - $R$1</f>
        <v>-51.063548267635269</v>
      </c>
      <c r="AD26">
        <f t="shared" si="36"/>
        <v>-50.825259157248865</v>
      </c>
      <c r="AE26">
        <f t="shared" ref="AE26" si="37" xml:space="preserve"> ($B$6* $R$2 / (AE22 - $B$8)) - ($B$7 * $B$10 / (AE22 * (AE22 + $B$8))) - $R$1</f>
        <v>-50.742265775118312</v>
      </c>
    </row>
    <row r="27" spans="1:31" x14ac:dyDescent="0.25">
      <c r="A27" s="19" t="s">
        <v>48</v>
      </c>
      <c r="B27">
        <v>1E-4</v>
      </c>
      <c r="C27" s="21" t="s">
        <v>40</v>
      </c>
      <c r="D27">
        <f t="shared" si="23"/>
        <v>-3.7940018928900745</v>
      </c>
      <c r="E27">
        <f t="shared" ref="E27:K27" si="38" xml:space="preserve"> ($B$6* $F$18 / (E23 - $B$8)) - ($B$7 * $B$26 / (E23 * (E23 + $B$8))) - $F$17</f>
        <v>-2.5265739134282086</v>
      </c>
      <c r="F27">
        <f t="shared" ref="F27:H27" si="39" xml:space="preserve"> ($B$6* $F$18 / (F23 - $B$8)) - ($B$7 * $B$26 / (F23 * (F23 + $B$8))) - $F$17</f>
        <v>-5.6232361848874035E-2</v>
      </c>
      <c r="G27">
        <f t="shared" si="39"/>
        <v>2.2285568413794925</v>
      </c>
      <c r="H27">
        <f t="shared" si="39"/>
        <v>6.5374385618106601E-3</v>
      </c>
      <c r="I27">
        <f t="shared" si="38"/>
        <v>1.0204037816237133E-3</v>
      </c>
      <c r="J27">
        <f t="shared" si="38"/>
        <v>1.8803127361266547E-4</v>
      </c>
      <c r="K27">
        <f t="shared" si="38"/>
        <v>3.0847162337366285E-5</v>
      </c>
      <c r="M27" s="19" t="s">
        <v>43</v>
      </c>
      <c r="N27">
        <f>(1 + (0.48508 + 1.55171 * N19 - 0.15613 * (N19 ^ 2)) * (1 - (N26 ^ 0.5))) ^ 2</f>
        <v>0.75998721012380066</v>
      </c>
      <c r="O27" s="22" t="s">
        <v>44</v>
      </c>
      <c r="P27">
        <f t="shared" si="29"/>
        <v>-99.751464180063266</v>
      </c>
      <c r="Q27">
        <f t="shared" ref="Q27:R27" si="40" xml:space="preserve"> ($B$6* $R$2 / (Q23 - $B$8)) - ($B$7 * $B$10 / (Q23 * (Q23 + $B$8))) - $R$1</f>
        <v>-99.166177893295668</v>
      </c>
      <c r="R27">
        <f t="shared" si="40"/>
        <v>-97.27264958518704</v>
      </c>
      <c r="S27">
        <f t="shared" ref="S27:T27" si="41" xml:space="preserve"> ($B$6* $R$2 / (S23 - $B$8)) - ($B$7 * $B$10 / (S23 * (S23 + $B$8))) - $R$1</f>
        <v>-91.789281206394733</v>
      </c>
      <c r="T27">
        <f t="shared" si="41"/>
        <v>-80.799430468453892</v>
      </c>
      <c r="U27">
        <f t="shared" ref="U27:V27" si="42" xml:space="preserve"> ($B$6* $R$2 / (U23 - $B$8)) - ($B$7 * $B$10 / (U23 * (U23 + $B$8))) - $R$1</f>
        <v>-77.372560062698739</v>
      </c>
      <c r="V27">
        <f t="shared" si="42"/>
        <v>-103.47372191322953</v>
      </c>
      <c r="W27">
        <f t="shared" ref="W27:X27" si="43" xml:space="preserve"> ($B$6* $R$2 / (W23 - $B$8)) - ($B$7 * $B$10 / (W23 * (W23 + $B$8))) - $R$1</f>
        <v>-110.04331321090297</v>
      </c>
      <c r="X27">
        <f t="shared" si="43"/>
        <v>-80.573492581247706</v>
      </c>
      <c r="Y27">
        <f t="shared" ref="Y27:Z27" si="44" xml:space="preserve"> ($B$6* $R$2 / (Y23 - $B$8)) - ($B$7 * $B$10 / (Y23 * (Y23 + $B$8))) - $R$1</f>
        <v>-62.360649047390098</v>
      </c>
      <c r="Z27">
        <f t="shared" si="44"/>
        <v>-54.941355394169932</v>
      </c>
      <c r="AA27">
        <f t="shared" ref="AA27:AB27" si="45" xml:space="preserve"> ($B$6* $R$2 / (AA23 - $B$8)) - ($B$7 * $B$10 / (AA23 * (AA23 + $B$8))) - $R$1</f>
        <v>-52.199677069958625</v>
      </c>
      <c r="AB27">
        <f t="shared" si="45"/>
        <v>-51.223388149253879</v>
      </c>
      <c r="AC27">
        <f t="shared" ref="AC27:AD27" si="46" xml:space="preserve"> ($B$6* $R$2 / (AC23 - $B$8)) - ($B$7 * $B$10 / (AC23 * (AC23 + $B$8))) - $R$1</f>
        <v>-50.881028011907688</v>
      </c>
      <c r="AD27">
        <f t="shared" si="46"/>
        <v>-50.761672688090243</v>
      </c>
      <c r="AE27">
        <f t="shared" ref="AE27" si="47" xml:space="preserve"> ($B$6* $R$2 / (AE23 - $B$8)) - ($B$7 * $B$10 / (AE23 * (AE23 + $B$8))) - $R$1</f>
        <v>-50.720150497265308</v>
      </c>
    </row>
    <row r="28" spans="1:31" x14ac:dyDescent="0.25">
      <c r="C28" s="21" t="s">
        <v>41</v>
      </c>
      <c r="D28">
        <v>1</v>
      </c>
      <c r="E28">
        <f t="shared" ref="E28:K28" si="48">ABS((E23-D23)/E23)</f>
        <v>1.0501203857788295</v>
      </c>
      <c r="F28">
        <f t="shared" si="48"/>
        <v>0.99719816424004748</v>
      </c>
      <c r="G28">
        <f t="shared" si="48"/>
        <v>0.46110009447053724</v>
      </c>
      <c r="H28">
        <f t="shared" si="48"/>
        <v>0.3069080623913012</v>
      </c>
      <c r="I28">
        <f t="shared" si="48"/>
        <v>1.1002271014027181E-3</v>
      </c>
      <c r="J28">
        <f t="shared" si="48"/>
        <v>1.6617791429386809E-4</v>
      </c>
      <c r="K28">
        <f t="shared" si="48"/>
        <v>3.1386040611467721E-5</v>
      </c>
      <c r="M28" s="19" t="s">
        <v>48</v>
      </c>
      <c r="N28">
        <v>1E-4</v>
      </c>
      <c r="O28" s="22" t="s">
        <v>40</v>
      </c>
      <c r="P28">
        <f t="shared" si="29"/>
        <v>-99.580222389067586</v>
      </c>
      <c r="Q28">
        <f t="shared" ref="Q28:R28" si="49" xml:space="preserve"> ($B$6* $R$2 / (Q24 - $B$8)) - ($B$7 * $B$10 / (Q24 * (Q24 + $B$8))) - $R$1</f>
        <v>-98.604518404121023</v>
      </c>
      <c r="R28">
        <f t="shared" si="49"/>
        <v>-95.569382565406727</v>
      </c>
      <c r="S28">
        <f t="shared" ref="S28:T28" si="50" xml:space="preserve"> ($B$6* $R$2 / (S24 - $B$8)) - ($B$7 * $B$10 / (S24 * (S24 + $B$8))) - $R$1</f>
        <v>-87.788283983003581</v>
      </c>
      <c r="T28">
        <f t="shared" si="50"/>
        <v>-76.922386415793085</v>
      </c>
      <c r="U28">
        <f t="shared" ref="U28:V28" si="51" xml:space="preserve"> ($B$6* $R$2 / (U24 - $B$8)) - ($B$7 * $B$10 / (U24 * (U24 + $B$8))) - $R$1</f>
        <v>-84.882844290097751</v>
      </c>
      <c r="V28">
        <f t="shared" si="51"/>
        <v>-114.27425409302754</v>
      </c>
      <c r="W28">
        <f t="shared" ref="W28:X28" si="52" xml:space="preserve"> ($B$6* $R$2 / (W24 - $B$8)) - ($B$7 * $B$10 / (W24 * (W24 + $B$8))) - $R$1</f>
        <v>-97.72779368317174</v>
      </c>
      <c r="X28">
        <f t="shared" si="52"/>
        <v>-72.088326115327504</v>
      </c>
      <c r="Y28">
        <f t="shared" ref="Y28:Z28" si="53" xml:space="preserve"> ($B$6* $R$2 / (Y24 - $B$8)) - ($B$7 * $B$10 / (Y24 * (Y24 + $B$8))) - $R$1</f>
        <v>-58.927584471069963</v>
      </c>
      <c r="Z28">
        <f t="shared" si="53"/>
        <v>-53.669068052174111</v>
      </c>
      <c r="AA28">
        <f t="shared" ref="AA28:AB28" si="54" xml:space="preserve"> ($B$6* $R$2 / (AA24 - $B$8)) - ($B$7 * $B$10 / (AA24 * (AA24 + $B$8))) - $R$1</f>
        <v>-51.744796891204601</v>
      </c>
      <c r="AB28">
        <f t="shared" si="54"/>
        <v>-51.063548267635269</v>
      </c>
      <c r="AC28">
        <f t="shared" ref="AC28:AD28" si="55" xml:space="preserve"> ($B$6* $R$2 / (AC24 - $B$8)) - ($B$7 * $B$10 / (AC24 * (AC24 + $B$8))) - $R$1</f>
        <v>-50.825259157248865</v>
      </c>
      <c r="AD28">
        <f t="shared" si="55"/>
        <v>-50.742265775118312</v>
      </c>
      <c r="AE28">
        <f t="shared" ref="AE28" si="56" xml:space="preserve"> ($B$6* $R$2 / (AE24 - $B$8)) - ($B$7 * $B$10 / (AE24 * (AE24 + $B$8))) - $R$1</f>
        <v>-50.713403429312166</v>
      </c>
    </row>
    <row r="29" spans="1:31" x14ac:dyDescent="0.25">
      <c r="C29" s="21" t="s">
        <v>47</v>
      </c>
      <c r="D29">
        <f t="shared" ref="D29:K29" si="57">SIGN(D24*D27)</f>
        <v>-1</v>
      </c>
      <c r="E29">
        <f t="shared" si="57"/>
        <v>-1</v>
      </c>
      <c r="F29">
        <f t="shared" si="57"/>
        <v>-1</v>
      </c>
      <c r="G29">
        <f t="shared" si="57"/>
        <v>1</v>
      </c>
      <c r="H29">
        <f t="shared" si="57"/>
        <v>1</v>
      </c>
      <c r="I29">
        <f t="shared" si="57"/>
        <v>1</v>
      </c>
      <c r="J29">
        <f t="shared" si="57"/>
        <v>1</v>
      </c>
      <c r="K29">
        <f t="shared" si="57"/>
        <v>1</v>
      </c>
      <c r="O29" s="22" t="s">
        <v>41</v>
      </c>
      <c r="P29">
        <v>1</v>
      </c>
      <c r="Q29">
        <f t="shared" ref="Q29:AE29" si="58">ABS((Q24-P24)/Q24)</f>
        <v>2.3653799838432752</v>
      </c>
      <c r="R29">
        <f t="shared" si="58"/>
        <v>2.3071040981800883</v>
      </c>
      <c r="S29">
        <f t="shared" si="58"/>
        <v>2.139324175935768</v>
      </c>
      <c r="T29">
        <f t="shared" si="58"/>
        <v>1.7822968986916314</v>
      </c>
      <c r="U29">
        <f t="shared" si="58"/>
        <v>1.3357150148031727</v>
      </c>
      <c r="V29">
        <f t="shared" si="58"/>
        <v>0.8076411988806087</v>
      </c>
      <c r="W29">
        <f t="shared" si="58"/>
        <v>0.27719232979872516</v>
      </c>
      <c r="X29">
        <f t="shared" si="58"/>
        <v>8.2321995480118398E-2</v>
      </c>
      <c r="Y29">
        <f t="shared" si="58"/>
        <v>2.7094418479844635E-2</v>
      </c>
      <c r="Z29">
        <f t="shared" si="58"/>
        <v>9.3323084829087296E-3</v>
      </c>
      <c r="AA29">
        <f t="shared" si="58"/>
        <v>3.2436137414952027E-3</v>
      </c>
      <c r="AB29">
        <f t="shared" si="58"/>
        <v>1.1279193906552217E-3</v>
      </c>
      <c r="AC29">
        <f t="shared" si="58"/>
        <v>3.920718055276187E-4</v>
      </c>
      <c r="AD29">
        <f t="shared" si="58"/>
        <v>1.3625808594639941E-4</v>
      </c>
      <c r="AE29">
        <f t="shared" si="58"/>
        <v>4.7350310927860755E-5</v>
      </c>
    </row>
    <row r="30" spans="1:31" x14ac:dyDescent="0.25">
      <c r="C30" s="21" t="s">
        <v>45</v>
      </c>
      <c r="D30">
        <f t="shared" ref="D30:K30" si="59">SIGN(D27*D26)</f>
        <v>1</v>
      </c>
      <c r="E30">
        <f t="shared" si="59"/>
        <v>1</v>
      </c>
      <c r="F30">
        <f t="shared" si="59"/>
        <v>1</v>
      </c>
      <c r="G30">
        <f t="shared" si="59"/>
        <v>1</v>
      </c>
      <c r="H30">
        <f t="shared" si="59"/>
        <v>1</v>
      </c>
      <c r="I30">
        <f t="shared" si="59"/>
        <v>1</v>
      </c>
      <c r="J30">
        <f t="shared" si="59"/>
        <v>1</v>
      </c>
      <c r="K30">
        <f t="shared" si="59"/>
        <v>1</v>
      </c>
      <c r="O30" s="22" t="s">
        <v>47</v>
      </c>
      <c r="P30">
        <f t="shared" ref="P30" si="60">SIGN(P25*P28)</f>
        <v>-1</v>
      </c>
      <c r="Q30">
        <f t="shared" ref="Q30:R30" si="61">SIGN(Q25*Q28)</f>
        <v>-1</v>
      </c>
      <c r="R30">
        <f t="shared" si="61"/>
        <v>-1</v>
      </c>
      <c r="S30">
        <f t="shared" ref="S30:T30" si="62">SIGN(S25*S28)</f>
        <v>-1</v>
      </c>
      <c r="T30">
        <f t="shared" si="62"/>
        <v>-1</v>
      </c>
      <c r="U30">
        <f t="shared" ref="U30:V30" si="63">SIGN(U25*U28)</f>
        <v>-1</v>
      </c>
      <c r="V30">
        <f t="shared" si="63"/>
        <v>-1</v>
      </c>
      <c r="W30">
        <f t="shared" ref="W30:X30" si="64">SIGN(W25*W28)</f>
        <v>-1</v>
      </c>
      <c r="X30">
        <f t="shared" si="64"/>
        <v>-1</v>
      </c>
      <c r="Y30">
        <f t="shared" ref="Y30:Z30" si="65">SIGN(Y25*Y28)</f>
        <v>-1</v>
      </c>
      <c r="Z30">
        <f t="shared" si="65"/>
        <v>-1</v>
      </c>
      <c r="AA30">
        <f t="shared" ref="AA30:AB30" si="66">SIGN(AA25*AA28)</f>
        <v>-1</v>
      </c>
      <c r="AB30">
        <f t="shared" si="66"/>
        <v>-1</v>
      </c>
      <c r="AC30">
        <f t="shared" ref="AC30:AD30" si="67">SIGN(AC25*AC28)</f>
        <v>-1</v>
      </c>
      <c r="AD30">
        <f t="shared" si="67"/>
        <v>-1</v>
      </c>
      <c r="AE30">
        <f t="shared" ref="AE30" si="68">SIGN(AE25*AE28)</f>
        <v>-1</v>
      </c>
    </row>
    <row r="31" spans="1:31" x14ac:dyDescent="0.25">
      <c r="C31" s="21" t="s">
        <v>46</v>
      </c>
      <c r="D31">
        <f t="shared" ref="D31:K31" si="69">SIGN(D26*D25)</f>
        <v>1</v>
      </c>
      <c r="E31">
        <f t="shared" si="69"/>
        <v>1</v>
      </c>
      <c r="F31">
        <f t="shared" si="69"/>
        <v>1</v>
      </c>
      <c r="G31">
        <f t="shared" si="69"/>
        <v>-1</v>
      </c>
      <c r="H31">
        <f t="shared" si="69"/>
        <v>-1</v>
      </c>
      <c r="I31">
        <f t="shared" si="69"/>
        <v>-1</v>
      </c>
      <c r="J31">
        <f t="shared" si="69"/>
        <v>-1</v>
      </c>
      <c r="K31">
        <f t="shared" si="69"/>
        <v>-1</v>
      </c>
      <c r="O31" s="22" t="s">
        <v>45</v>
      </c>
      <c r="P31">
        <f t="shared" ref="P31" si="70">SIGN(P28*P27)</f>
        <v>1</v>
      </c>
      <c r="Q31">
        <f t="shared" ref="Q31:R31" si="71">SIGN(Q28*Q27)</f>
        <v>1</v>
      </c>
      <c r="R31">
        <f t="shared" si="71"/>
        <v>1</v>
      </c>
      <c r="S31">
        <f t="shared" ref="S31:T31" si="72">SIGN(S28*S27)</f>
        <v>1</v>
      </c>
      <c r="T31">
        <f t="shared" si="72"/>
        <v>1</v>
      </c>
      <c r="U31">
        <f t="shared" ref="U31:V31" si="73">SIGN(U28*U27)</f>
        <v>1</v>
      </c>
      <c r="V31">
        <f t="shared" si="73"/>
        <v>1</v>
      </c>
      <c r="W31">
        <f t="shared" ref="W31:X31" si="74">SIGN(W28*W27)</f>
        <v>1</v>
      </c>
      <c r="X31">
        <f t="shared" si="74"/>
        <v>1</v>
      </c>
      <c r="Y31">
        <f t="shared" ref="Y31:Z31" si="75">SIGN(Y28*Y27)</f>
        <v>1</v>
      </c>
      <c r="Z31">
        <f t="shared" si="75"/>
        <v>1</v>
      </c>
      <c r="AA31">
        <f t="shared" ref="AA31:AB31" si="76">SIGN(AA28*AA27)</f>
        <v>1</v>
      </c>
      <c r="AB31">
        <f t="shared" si="76"/>
        <v>1</v>
      </c>
      <c r="AC31">
        <f t="shared" ref="AC31:AD31" si="77">SIGN(AC28*AC27)</f>
        <v>1</v>
      </c>
      <c r="AD31">
        <f t="shared" si="77"/>
        <v>1</v>
      </c>
      <c r="AE31">
        <f t="shared" ref="AE31" si="78">SIGN(AE28*AE27)</f>
        <v>1</v>
      </c>
    </row>
    <row r="32" spans="1:31" x14ac:dyDescent="0.25">
      <c r="O32" s="22" t="s">
        <v>46</v>
      </c>
      <c r="P32">
        <f t="shared" ref="P32" si="79">SIGN(P27*P26)</f>
        <v>1</v>
      </c>
      <c r="Q32">
        <f t="shared" ref="Q32:R32" si="80">SIGN(Q27*Q26)</f>
        <v>1</v>
      </c>
      <c r="R32">
        <f t="shared" si="80"/>
        <v>1</v>
      </c>
      <c r="S32">
        <f t="shared" ref="S32:T32" si="81">SIGN(S27*S26)</f>
        <v>1</v>
      </c>
      <c r="T32">
        <f t="shared" si="81"/>
        <v>1</v>
      </c>
      <c r="U32">
        <f t="shared" ref="U32:V32" si="82">SIGN(U27*U26)</f>
        <v>1</v>
      </c>
      <c r="V32">
        <f t="shared" si="82"/>
        <v>1</v>
      </c>
      <c r="W32">
        <f t="shared" ref="W32:X32" si="83">SIGN(W27*W26)</f>
        <v>1</v>
      </c>
      <c r="X32">
        <f t="shared" si="83"/>
        <v>1</v>
      </c>
      <c r="Y32">
        <f t="shared" ref="Y32:Z32" si="84">SIGN(Y27*Y26)</f>
        <v>1</v>
      </c>
      <c r="Z32">
        <f t="shared" si="84"/>
        <v>1</v>
      </c>
      <c r="AA32">
        <f t="shared" ref="AA32:AB32" si="85">SIGN(AA27*AA26)</f>
        <v>1</v>
      </c>
      <c r="AB32">
        <f t="shared" si="85"/>
        <v>1</v>
      </c>
      <c r="AC32">
        <f t="shared" ref="AC32:AD32" si="86">SIGN(AC27*AC26)</f>
        <v>1</v>
      </c>
      <c r="AD32">
        <f t="shared" si="86"/>
        <v>1</v>
      </c>
      <c r="AE32">
        <f t="shared" ref="AE32" si="87">SIGN(AE27*AE26)</f>
        <v>1</v>
      </c>
    </row>
    <row r="33" spans="1:11" x14ac:dyDescent="0.25">
      <c r="A33" s="19" t="s">
        <v>49</v>
      </c>
      <c r="C33" s="33" t="s">
        <v>31</v>
      </c>
      <c r="D33" s="33"/>
      <c r="E33" s="19" t="s">
        <v>32</v>
      </c>
      <c r="F33">
        <v>1</v>
      </c>
    </row>
    <row r="34" spans="1:11" x14ac:dyDescent="0.25">
      <c r="A34" s="19" t="s">
        <v>5</v>
      </c>
      <c r="B34">
        <v>2.1999999999999999E-2</v>
      </c>
      <c r="E34" s="19" t="s">
        <v>27</v>
      </c>
      <c r="F34">
        <v>200</v>
      </c>
    </row>
    <row r="35" spans="1:11" x14ac:dyDescent="0.25">
      <c r="A35" s="19" t="s">
        <v>10</v>
      </c>
      <c r="B35">
        <v>154.6</v>
      </c>
      <c r="C35" s="21" t="s">
        <v>33</v>
      </c>
      <c r="D35" s="19">
        <v>0</v>
      </c>
      <c r="E35" s="19">
        <f>D35+1</f>
        <v>1</v>
      </c>
      <c r="F35" s="19">
        <f>E35+1</f>
        <v>2</v>
      </c>
      <c r="G35" s="19">
        <v>3</v>
      </c>
      <c r="H35" s="19">
        <v>4</v>
      </c>
      <c r="I35" s="19">
        <v>5</v>
      </c>
      <c r="J35" s="19"/>
      <c r="K35" s="19"/>
    </row>
    <row r="36" spans="1:11" x14ac:dyDescent="0.25">
      <c r="A36" s="19" t="s">
        <v>11</v>
      </c>
      <c r="B36">
        <v>50.43</v>
      </c>
      <c r="C36" s="21" t="s">
        <v>34</v>
      </c>
      <c r="D36">
        <v>0.05</v>
      </c>
      <c r="E36">
        <v>0.05</v>
      </c>
      <c r="F36">
        <v>0.05</v>
      </c>
      <c r="G36">
        <v>11.697266920557974</v>
      </c>
      <c r="H36">
        <v>11.697266920557974</v>
      </c>
      <c r="I36">
        <v>14.163400747659928</v>
      </c>
    </row>
    <row r="37" spans="1:11" x14ac:dyDescent="0.25">
      <c r="A37" s="19"/>
      <c r="C37" s="21" t="s">
        <v>35</v>
      </c>
      <c r="D37">
        <v>100</v>
      </c>
      <c r="E37">
        <v>47.75967814905303</v>
      </c>
      <c r="F37">
        <v>23.344533841115947</v>
      </c>
      <c r="G37">
        <v>23.344533841115947</v>
      </c>
      <c r="H37">
        <v>16.62953457476188</v>
      </c>
      <c r="I37">
        <v>16.62953457476188</v>
      </c>
    </row>
    <row r="38" spans="1:11" x14ac:dyDescent="0.25">
      <c r="A38" s="19" t="s">
        <v>29</v>
      </c>
      <c r="B38">
        <v>8.3140000000000006E-2</v>
      </c>
      <c r="C38" s="21" t="s">
        <v>36</v>
      </c>
      <c r="D38">
        <f>(D36+D37)/2</f>
        <v>50.024999999999999</v>
      </c>
      <c r="E38">
        <f t="shared" ref="E38" si="88">(E36+E37)/2</f>
        <v>23.904839074526514</v>
      </c>
      <c r="F38">
        <f t="shared" ref="F38" si="89">(F36+F37)/2</f>
        <v>11.697266920557974</v>
      </c>
      <c r="G38">
        <f t="shared" ref="G38" si="90">(G36+G37)/2</f>
        <v>17.520900380836959</v>
      </c>
      <c r="H38">
        <f t="shared" ref="H38:I38" si="91">(H36+H37)/2</f>
        <v>14.163400747659928</v>
      </c>
      <c r="I38">
        <f t="shared" si="91"/>
        <v>15.396467661210904</v>
      </c>
    </row>
    <row r="39" spans="1:11" x14ac:dyDescent="0.25">
      <c r="A39" s="19" t="s">
        <v>28</v>
      </c>
      <c r="B39">
        <f xml:space="preserve"> (0.427 * (B38 ^ 2) * (B35 ^ 2)) / B36</f>
        <v>1.3988718357387484</v>
      </c>
      <c r="C39" s="21" t="s">
        <v>37</v>
      </c>
      <c r="D39">
        <f xml:space="preserve"> D38 + (D38 - D36) * (SIGN(D40 - D41) * D42 / ((D42 ^ 2 - D40 * D41) ^ 0.5))</f>
        <v>47.75967814905303</v>
      </c>
      <c r="E39">
        <f t="shared" ref="E39" si="92" xml:space="preserve"> E38 + (E38 - E36) * (SIGN(E40 - E41) * E42 / ((E42 ^ 2 - E40 * E41) ^ 0.5))</f>
        <v>23.344533841115947</v>
      </c>
      <c r="F39">
        <f t="shared" ref="F39" si="93" xml:space="preserve"> F38 + (F38 - F36) * (SIGN(F40 - F41) * F42 / ((F42 ^ 2 - F40 * F41) ^ 0.5))</f>
        <v>12.254696819121749</v>
      </c>
      <c r="G39">
        <f t="shared" ref="G39" si="94" xml:space="preserve"> G38 + (G38 - G36) * (SIGN(G40 - G41) * G42 / ((G42 ^ 2 - G40 * G41) ^ 0.5))</f>
        <v>16.62953457476188</v>
      </c>
      <c r="H39">
        <f t="shared" ref="H39:I39" si="95" xml:space="preserve"> H38 + (H38 - H36) * (SIGN(H40 - H41) * H42 / ((H42 ^ 2 - H40 * H41) ^ 0.5))</f>
        <v>16.575937947812676</v>
      </c>
      <c r="I39">
        <f t="shared" si="95"/>
        <v>16.57718789411674</v>
      </c>
    </row>
    <row r="40" spans="1:11" x14ac:dyDescent="0.25">
      <c r="A40" s="19" t="s">
        <v>30</v>
      </c>
      <c r="B40">
        <f xml:space="preserve"> 0.08664 * B38 * B35 / B36</f>
        <v>2.2082537936942297E-2</v>
      </c>
      <c r="C40" s="21" t="s">
        <v>38</v>
      </c>
      <c r="D40">
        <f xml:space="preserve"> ($B$6* $F$34 / (D36 - $B$40)) - ($B$39 * $B$42 / (D36 * (D36 + $B$40))) - $F$33</f>
        <v>259.87539265821061</v>
      </c>
      <c r="E40">
        <f t="shared" ref="E40:H40" si="96" xml:space="preserve"> ($B$6* $F$34 / (E36 - $B$40)) - ($B$39 * $B$42 / (E36 * (E36 + $B$40))) - $F$33</f>
        <v>259.87539265821061</v>
      </c>
      <c r="F40">
        <f t="shared" si="96"/>
        <v>259.87539265821061</v>
      </c>
      <c r="G40">
        <f t="shared" si="96"/>
        <v>0.41541665020403529</v>
      </c>
      <c r="H40">
        <f t="shared" si="96"/>
        <v>0.41541665020403529</v>
      </c>
      <c r="I40">
        <f t="shared" ref="I40" si="97" xml:space="preserve"> ($B$6* $F$34 / (I36 - $B$40)) - ($B$39 * $B$42 / (I36 * (I36 + $B$40))) - $F$33</f>
        <v>0.16984039968933917</v>
      </c>
    </row>
    <row r="41" spans="1:11" x14ac:dyDescent="0.25">
      <c r="A41" s="19" t="s">
        <v>42</v>
      </c>
      <c r="B41">
        <f>F34/B35</f>
        <v>1.29366106080207</v>
      </c>
      <c r="C41" s="21" t="s">
        <v>39</v>
      </c>
      <c r="D41">
        <f t="shared" ref="D41:D43" si="98" xml:space="preserve"> ($B$6* $F$34 / (D37 - $B$40)) - ($B$39 * $B$42 / (D37 * (D37 + $B$40))) - $F$33</f>
        <v>-0.8338038900487672</v>
      </c>
      <c r="E41">
        <f t="shared" ref="E41:H41" si="99" xml:space="preserve"> ($B$6* $F$34 / (E37 - $B$40)) - ($B$39 * $B$42 / (E37 * (E37 + $B$40))) - $F$33</f>
        <v>-0.65220781288877783</v>
      </c>
      <c r="F41">
        <f t="shared" si="99"/>
        <v>-0.2892506085804003</v>
      </c>
      <c r="G41">
        <f t="shared" si="99"/>
        <v>-0.2892506085804003</v>
      </c>
      <c r="H41">
        <f t="shared" si="99"/>
        <v>-3.1195292533212626E-3</v>
      </c>
      <c r="I41">
        <f t="shared" ref="I41" si="100" xml:space="preserve"> ($B$6* $F$34 / (I37 - $B$40)) - ($B$39 * $B$42 / (I37 * (I37 + $B$40))) - $F$33</f>
        <v>-3.1195292533212626E-3</v>
      </c>
    </row>
    <row r="42" spans="1:11" x14ac:dyDescent="0.25">
      <c r="A42" s="19" t="s">
        <v>43</v>
      </c>
      <c r="B42">
        <f>(1 + (0.48508 + 1.55171 * B34 - 0.15613 * (B34 ^ 2)) * (1 - (B41 ^ 0.5))) ^ 2</f>
        <v>0.86243525179061231</v>
      </c>
      <c r="C42" s="21" t="s">
        <v>44</v>
      </c>
      <c r="D42">
        <f t="shared" si="98"/>
        <v>-0.66794128311603851</v>
      </c>
      <c r="E42">
        <f t="shared" ref="E42:H42" si="101" xml:space="preserve"> ($B$6* $F$34 / (E38 - $B$40)) - ($B$39 * $B$42 / (E38 * (E38 + $B$40))) - $F$33</f>
        <v>-0.30587472852211017</v>
      </c>
      <c r="F42">
        <f t="shared" si="101"/>
        <v>0.41541665020403529</v>
      </c>
      <c r="G42">
        <f t="shared" si="101"/>
        <v>-5.3689425593062889E-2</v>
      </c>
      <c r="H42">
        <f t="shared" si="101"/>
        <v>0.16984039968933917</v>
      </c>
      <c r="I42">
        <f t="shared" ref="I42" si="102" xml:space="preserve"> ($B$6* $F$34 / (I38 - $B$40)) - ($B$39 * $B$42 / (I38 * (I38 + $B$40))) - $F$33</f>
        <v>7.6457127797968649E-2</v>
      </c>
    </row>
    <row r="43" spans="1:11" x14ac:dyDescent="0.25">
      <c r="A43" s="19" t="s">
        <v>48</v>
      </c>
      <c r="B43">
        <v>1E-4</v>
      </c>
      <c r="C43" s="21" t="s">
        <v>40</v>
      </c>
      <c r="D43">
        <f t="shared" si="98"/>
        <v>-0.65220781288877783</v>
      </c>
      <c r="E43">
        <f t="shared" ref="E43:H43" si="103" xml:space="preserve"> ($B$6* $F$34 / (E39 - $B$40)) - ($B$39 * $B$42 / (E39 * (E39 + $B$40))) - $F$33</f>
        <v>-0.2892506085804003</v>
      </c>
      <c r="F43">
        <f t="shared" si="103"/>
        <v>0.35129800716401904</v>
      </c>
      <c r="G43">
        <f t="shared" si="103"/>
        <v>-3.1195292533212626E-3</v>
      </c>
      <c r="H43">
        <f t="shared" si="103"/>
        <v>9.3988011667933691E-5</v>
      </c>
      <c r="I43">
        <f t="shared" ref="I43" si="104" xml:space="preserve"> ($B$6* $F$34 / (I39 - $B$40)) - ($B$39 * $B$42 / (I39 * (I39 + $B$40))) - $F$33</f>
        <v>1.8808480397813909E-5</v>
      </c>
    </row>
    <row r="44" spans="1:11" x14ac:dyDescent="0.25">
      <c r="C44" s="21" t="s">
        <v>41</v>
      </c>
      <c r="D44">
        <v>1</v>
      </c>
      <c r="E44">
        <f>ABS((E39-D39)/E39)</f>
        <v>1.0458612913030418</v>
      </c>
      <c r="F44">
        <f>ABS((F39-E39)/F39)</f>
        <v>0.90494584938976619</v>
      </c>
      <c r="G44">
        <f>ABS((G39-F39)/G39)</f>
        <v>0.26307637991743221</v>
      </c>
      <c r="H44">
        <f>ABS((H39-G39)/H39)</f>
        <v>3.2333993477742717E-3</v>
      </c>
      <c r="I44">
        <f>ABS((I39-H39)/I39)</f>
        <v>7.5401588740371374E-5</v>
      </c>
    </row>
    <row r="45" spans="1:11" x14ac:dyDescent="0.25">
      <c r="C45" s="21" t="s">
        <v>47</v>
      </c>
      <c r="D45">
        <f t="shared" ref="D45:I45" si="105">SIGN(D40*D43)</f>
        <v>-1</v>
      </c>
      <c r="E45">
        <f t="shared" si="105"/>
        <v>-1</v>
      </c>
      <c r="F45">
        <f t="shared" si="105"/>
        <v>1</v>
      </c>
      <c r="G45">
        <f t="shared" si="105"/>
        <v>-1</v>
      </c>
      <c r="H45">
        <f t="shared" si="105"/>
        <v>1</v>
      </c>
      <c r="I45">
        <f t="shared" si="105"/>
        <v>1</v>
      </c>
    </row>
    <row r="46" spans="1:11" x14ac:dyDescent="0.25">
      <c r="C46" s="21" t="s">
        <v>45</v>
      </c>
      <c r="D46">
        <f t="shared" ref="D46:I46" si="106">SIGN(D43*D42)</f>
        <v>1</v>
      </c>
      <c r="E46">
        <f t="shared" si="106"/>
        <v>1</v>
      </c>
      <c r="F46">
        <f t="shared" si="106"/>
        <v>1</v>
      </c>
      <c r="G46">
        <f t="shared" si="106"/>
        <v>1</v>
      </c>
      <c r="H46">
        <f t="shared" si="106"/>
        <v>1</v>
      </c>
      <c r="I46">
        <f t="shared" si="106"/>
        <v>1</v>
      </c>
    </row>
    <row r="47" spans="1:11" x14ac:dyDescent="0.25">
      <c r="C47" s="21" t="s">
        <v>46</v>
      </c>
      <c r="D47">
        <f t="shared" ref="D47:I47" si="107">SIGN(D42*D41)</f>
        <v>1</v>
      </c>
      <c r="E47">
        <f t="shared" si="107"/>
        <v>1</v>
      </c>
      <c r="F47">
        <f t="shared" si="107"/>
        <v>-1</v>
      </c>
      <c r="G47">
        <f t="shared" si="107"/>
        <v>1</v>
      </c>
      <c r="H47">
        <f t="shared" si="107"/>
        <v>-1</v>
      </c>
      <c r="I47">
        <f t="shared" si="107"/>
        <v>-1</v>
      </c>
    </row>
  </sheetData>
  <sortState ref="C5:O10">
    <sortCondition descending="1" ref="C5:C10"/>
  </sortState>
  <mergeCells count="6">
    <mergeCell ref="V1:W1"/>
    <mergeCell ref="C1:D1"/>
    <mergeCell ref="C17:D17"/>
    <mergeCell ref="C33:D33"/>
    <mergeCell ref="O1:P1"/>
    <mergeCell ref="O18:P1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9"/>
  <sheetViews>
    <sheetView workbookViewId="0">
      <selection activeCell="F14" sqref="F14"/>
    </sheetView>
  </sheetViews>
  <sheetFormatPr defaultRowHeight="15" x14ac:dyDescent="0.25"/>
  <sheetData>
    <row r="2" spans="1:9" x14ac:dyDescent="0.25">
      <c r="A2" t="s">
        <v>52</v>
      </c>
      <c r="D2" t="s">
        <v>53</v>
      </c>
    </row>
    <row r="3" spans="1:9" x14ac:dyDescent="0.25">
      <c r="A3" t="s">
        <v>54</v>
      </c>
      <c r="D3" t="s">
        <v>32</v>
      </c>
      <c r="E3" t="s">
        <v>27</v>
      </c>
      <c r="F3" t="s">
        <v>42</v>
      </c>
      <c r="G3" s="20" t="s">
        <v>43</v>
      </c>
      <c r="H3" t="s">
        <v>55</v>
      </c>
      <c r="I3" t="s">
        <v>56</v>
      </c>
    </row>
    <row r="4" spans="1:9" x14ac:dyDescent="0.25">
      <c r="A4" t="s">
        <v>10</v>
      </c>
      <c r="B4">
        <v>190.56</v>
      </c>
      <c r="D4">
        <v>100</v>
      </c>
      <c r="E4">
        <v>200</v>
      </c>
      <c r="F4">
        <f>E4/$B$4</f>
        <v>1.0495382031905962</v>
      </c>
      <c r="G4">
        <f>(1+(0.48508+1.55171*$B$6-0.15613*$B$6^2)*(1-F4^0.5))^2</f>
        <v>0.97550218304800995</v>
      </c>
      <c r="H4">
        <v>0</v>
      </c>
      <c r="I4" t="e">
        <f>$B$7*E4/(H4-$B$9)-($B$8*G4/(H4*(H4+$B$9)))-D4</f>
        <v>#DIV/0!</v>
      </c>
    </row>
    <row r="5" spans="1:9" x14ac:dyDescent="0.25">
      <c r="A5" t="s">
        <v>11</v>
      </c>
      <c r="B5">
        <v>45.99</v>
      </c>
      <c r="D5">
        <v>100</v>
      </c>
      <c r="E5">
        <v>200</v>
      </c>
      <c r="F5">
        <f>E5/$B$4</f>
        <v>1.0495382031905962</v>
      </c>
      <c r="G5">
        <f>(1+(0.48508+1.55171*$B$6-0.15613*$B$6^2)*(1-F5^0.5))^2</f>
        <v>0.97550218304800995</v>
      </c>
      <c r="H5">
        <v>0.05</v>
      </c>
      <c r="I5">
        <f>$B$7*E5/(H5-$B$9)-($B$8*G5/(H5*(H5+$B$9)))-D5</f>
        <v>155.63567797217445</v>
      </c>
    </row>
    <row r="6" spans="1:9" x14ac:dyDescent="0.25">
      <c r="A6" t="s">
        <v>5</v>
      </c>
      <c r="B6">
        <v>1.2E-2</v>
      </c>
      <c r="D6">
        <v>100</v>
      </c>
      <c r="E6">
        <v>200</v>
      </c>
      <c r="F6">
        <f>E6/$B$4</f>
        <v>1.0495382031905962</v>
      </c>
      <c r="G6">
        <f>(1+(0.48508+1.55171*$B$6-0.15613*$B$6^2)*(1-F6^0.5))^2</f>
        <v>0.97550218304800995</v>
      </c>
      <c r="H6">
        <v>100</v>
      </c>
      <c r="I6">
        <f>$B$7*E6/(H6-$B$9)-($B$8*G6/(H6*(H6+$B$9)))-D6</f>
        <v>-99.833897628403165</v>
      </c>
    </row>
    <row r="7" spans="1:9" x14ac:dyDescent="0.25">
      <c r="A7" t="s">
        <v>29</v>
      </c>
      <c r="B7">
        <v>8.3140000000000006E-2</v>
      </c>
      <c r="D7">
        <v>1</v>
      </c>
      <c r="E7">
        <v>700</v>
      </c>
      <c r="F7">
        <f t="shared" ref="F7:F8" si="0">E7/$B$4</f>
        <v>3.6733837111670864</v>
      </c>
      <c r="G7">
        <f t="shared" ref="G7:G8" si="1">(1+(0.48508+1.55171*$B$6-0.15613*$B$6^2)*(1-F7^0.5))^2</f>
        <v>0.28979381855073399</v>
      </c>
      <c r="H7">
        <v>0.5</v>
      </c>
      <c r="I7">
        <f t="shared" ref="I7:I8" si="2">$B$7*E7/(H7-$B$9)-($B$8*G7/(H7*(H7+$B$9)))-D7</f>
        <v>120.23588959654161</v>
      </c>
    </row>
    <row r="8" spans="1:9" x14ac:dyDescent="0.25">
      <c r="A8" t="s">
        <v>28</v>
      </c>
      <c r="B8">
        <f>0.427*(B7^2)*(B4^2)/B5</f>
        <v>2.3304940263830938</v>
      </c>
      <c r="D8">
        <v>1</v>
      </c>
      <c r="E8">
        <v>700</v>
      </c>
      <c r="F8">
        <f t="shared" si="0"/>
        <v>3.6733837111670864</v>
      </c>
      <c r="G8">
        <f t="shared" si="1"/>
        <v>0.28979381855073399</v>
      </c>
      <c r="H8">
        <v>100</v>
      </c>
      <c r="I8">
        <f t="shared" si="2"/>
        <v>-0.41791376224924792</v>
      </c>
    </row>
    <row r="9" spans="1:9" x14ac:dyDescent="0.25">
      <c r="A9" t="s">
        <v>30</v>
      </c>
      <c r="B9">
        <f xml:space="preserve"> 0.08664*B7*B4/B5</f>
        <v>2.9846732850097847E-2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1"/>
  <sheetViews>
    <sheetView workbookViewId="0">
      <selection activeCell="I16" sqref="I16"/>
    </sheetView>
  </sheetViews>
  <sheetFormatPr defaultColWidth="11.42578125" defaultRowHeight="15" x14ac:dyDescent="0.25"/>
  <sheetData>
    <row r="1" spans="1:2" x14ac:dyDescent="0.25">
      <c r="A1" t="s">
        <v>64</v>
      </c>
    </row>
    <row r="2" spans="1:2" x14ac:dyDescent="0.25">
      <c r="A2" t="s">
        <v>63</v>
      </c>
      <c r="B2" t="s">
        <v>60</v>
      </c>
    </row>
    <row r="3" spans="1:2" x14ac:dyDescent="0.25">
      <c r="A3">
        <v>1</v>
      </c>
      <c r="B3" s="23">
        <v>24.941998860000002</v>
      </c>
    </row>
    <row r="4" spans="1:2" x14ac:dyDescent="0.25">
      <c r="A4">
        <v>5</v>
      </c>
      <c r="B4" s="23">
        <v>4.9883999750000001</v>
      </c>
    </row>
    <row r="5" spans="1:2" x14ac:dyDescent="0.25">
      <c r="A5">
        <v>20</v>
      </c>
      <c r="B5" s="23">
        <v>1.247099849</v>
      </c>
    </row>
    <row r="6" spans="1:2" x14ac:dyDescent="0.25">
      <c r="A6">
        <v>50</v>
      </c>
      <c r="B6" s="23">
        <v>0.49883314200000001</v>
      </c>
    </row>
    <row r="7" spans="1:2" x14ac:dyDescent="0.25">
      <c r="A7">
        <v>100</v>
      </c>
      <c r="B7" s="23">
        <v>0.24942631900000001</v>
      </c>
    </row>
    <row r="19" spans="1:2" x14ac:dyDescent="0.25">
      <c r="A19" t="s">
        <v>64</v>
      </c>
    </row>
    <row r="20" spans="1:2" x14ac:dyDescent="0.25">
      <c r="A20" t="s">
        <v>63</v>
      </c>
      <c r="B20" t="s">
        <v>62</v>
      </c>
    </row>
    <row r="21" spans="1:2" x14ac:dyDescent="0.25">
      <c r="A21">
        <v>1</v>
      </c>
      <c r="B21">
        <v>24.900865309508017</v>
      </c>
    </row>
    <row r="22" spans="1:2" x14ac:dyDescent="0.25">
      <c r="A22">
        <v>5</v>
      </c>
      <c r="B22">
        <v>4.9475093573868465</v>
      </c>
    </row>
    <row r="23" spans="1:2" x14ac:dyDescent="0.25">
      <c r="A23">
        <v>20</v>
      </c>
      <c r="B23">
        <v>1.2070908204348929</v>
      </c>
    </row>
    <row r="24" spans="1:2" x14ac:dyDescent="0.25">
      <c r="A24">
        <v>50</v>
      </c>
      <c r="B24">
        <v>0.461198871125028</v>
      </c>
    </row>
    <row r="25" spans="1:2" x14ac:dyDescent="0.25">
      <c r="A25">
        <v>100</v>
      </c>
      <c r="B25">
        <v>0.21746364975991994</v>
      </c>
    </row>
    <row r="37" spans="1:2" x14ac:dyDescent="0.25">
      <c r="A37" t="s">
        <v>61</v>
      </c>
    </row>
    <row r="38" spans="1:2" x14ac:dyDescent="0.25">
      <c r="A38" t="s">
        <v>58</v>
      </c>
      <c r="B38" t="s">
        <v>60</v>
      </c>
    </row>
    <row r="39" spans="1:2" x14ac:dyDescent="0.25">
      <c r="A39" s="24">
        <v>200</v>
      </c>
      <c r="B39">
        <v>16.627665040232088</v>
      </c>
    </row>
    <row r="40" spans="1:2" x14ac:dyDescent="0.25">
      <c r="A40" s="24">
        <v>300</v>
      </c>
      <c r="B40">
        <v>24.941998861651236</v>
      </c>
    </row>
    <row r="41" spans="1:2" x14ac:dyDescent="0.25">
      <c r="A41" s="24">
        <v>400</v>
      </c>
      <c r="B41">
        <v>33.255831909505567</v>
      </c>
    </row>
    <row r="42" spans="1:2" x14ac:dyDescent="0.25">
      <c r="A42" s="24">
        <v>500</v>
      </c>
      <c r="B42">
        <v>41.569987755454243</v>
      </c>
    </row>
    <row r="43" spans="1:2" x14ac:dyDescent="0.25">
      <c r="A43" s="24">
        <v>600</v>
      </c>
      <c r="B43">
        <v>49.883438379585698</v>
      </c>
    </row>
    <row r="44" spans="1:2" x14ac:dyDescent="0.25">
      <c r="A44" s="24">
        <v>700</v>
      </c>
      <c r="B44">
        <v>58.19746764243434</v>
      </c>
    </row>
    <row r="54" spans="1:2" x14ac:dyDescent="0.25">
      <c r="A54" t="s">
        <v>59</v>
      </c>
    </row>
    <row r="55" spans="1:2" x14ac:dyDescent="0.25">
      <c r="A55" s="23" t="s">
        <v>58</v>
      </c>
      <c r="B55" t="s">
        <v>57</v>
      </c>
    </row>
    <row r="56" spans="1:2" x14ac:dyDescent="0.25">
      <c r="A56" s="23">
        <v>200</v>
      </c>
      <c r="B56" s="15">
        <v>16.520351007703844</v>
      </c>
    </row>
    <row r="57" spans="1:2" x14ac:dyDescent="0.25">
      <c r="A57" s="23">
        <v>300</v>
      </c>
      <c r="B57" s="15">
        <v>24.900865309508017</v>
      </c>
    </row>
    <row r="58" spans="1:2" x14ac:dyDescent="0.25">
      <c r="A58" s="23">
        <v>400</v>
      </c>
      <c r="B58" s="15">
        <v>33.243744904135646</v>
      </c>
    </row>
    <row r="59" spans="1:2" x14ac:dyDescent="0.25">
      <c r="A59" s="23">
        <v>500</v>
      </c>
      <c r="B59" s="15">
        <v>41.57334164388638</v>
      </c>
    </row>
    <row r="60" spans="1:2" x14ac:dyDescent="0.25">
      <c r="A60" s="23">
        <v>600</v>
      </c>
      <c r="B60" s="16">
        <v>49.895962538722621</v>
      </c>
    </row>
    <row r="61" spans="1:2" x14ac:dyDescent="0.25">
      <c r="A61" s="23">
        <v>700</v>
      </c>
      <c r="B61" s="16">
        <v>58.215719109885427</v>
      </c>
    </row>
  </sheetData>
  <pageMargins left="0.75" right="0.75" top="1" bottom="1" header="0.5" footer="0.5"/>
  <pageSetup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SRK Equation Results</vt:lpstr>
      <vt:lpstr>Ideal Gas Results</vt:lpstr>
      <vt:lpstr>Percentage Error</vt:lpstr>
      <vt:lpstr>Chemical Species Database</vt:lpstr>
      <vt:lpstr>Validation</vt:lpstr>
      <vt:lpstr>Initial Test Cases</vt:lpstr>
      <vt:lpstr>Conclusion</vt:lpstr>
      <vt:lpstr>Elements</vt:lpstr>
      <vt:lpstr>ValidElements</vt:lpstr>
      <vt:lpstr>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kclimaco</dc:creator>
  <cp:lastModifiedBy>kclimaco</cp:lastModifiedBy>
  <dcterms:created xsi:type="dcterms:W3CDTF">2013-10-31T02:21:04Z</dcterms:created>
  <dcterms:modified xsi:type="dcterms:W3CDTF">2013-11-25T20:59:34Z</dcterms:modified>
</cp:coreProperties>
</file>